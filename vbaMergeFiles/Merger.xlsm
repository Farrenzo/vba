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VB\"/>
    </mc:Choice>
  </mc:AlternateContent>
  <xr:revisionPtr revIDLastSave="0" documentId="13_ncr:1_{4720FBA1-0E96-496F-9817-276640738C71}" xr6:coauthVersionLast="46" xr6:coauthVersionMax="46" xr10:uidLastSave="{00000000-0000-0000-0000-000000000000}"/>
  <bookViews>
    <workbookView xWindow="-27615" yWindow="-5130" windowWidth="27555" windowHeight="18780" activeTab="2" xr2:uid="{689A66C1-3210-46D1-8E98-BBD46241F1EE}"/>
  </bookViews>
  <sheets>
    <sheet name="Run" sheetId="1" r:id="rId1"/>
    <sheet name="Sample" sheetId="2" r:id="rId2"/>
    <sheet name="blank" sheetId="3" r:id="rId3"/>
  </sheet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G9" i="1"/>
  <c r="U3" i="1" l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2" i="1"/>
  <c r="U1" i="1"/>
</calcChain>
</file>

<file path=xl/sharedStrings.xml><?xml version="1.0" encoding="utf-8"?>
<sst xmlns="http://schemas.openxmlformats.org/spreadsheetml/2006/main" count="606" uniqueCount="447">
  <si>
    <t>OXL SHOPPING 2|TLNCH|Thu|01:30</t>
  </si>
  <si>
    <t>OXL SHOPPING 2|TLNCH|Weekday</t>
  </si>
  <si>
    <t>OXL SHOPPING 2|TLNCH|Weekday|01:30</t>
  </si>
  <si>
    <t>OXL SHOPPING 2|TLNCH|Weekday|12am-6am</t>
  </si>
  <si>
    <t>OXL SHOPPING 2|WTVG</t>
  </si>
  <si>
    <t>OXL SHOPPING 2|WTVG|Thu</t>
  </si>
  <si>
    <t>OXL SHOPPING 2|WTVG|Thu|01:30</t>
  </si>
  <si>
    <t>OXL SHOPPING 2|WTVG|Weekday</t>
  </si>
  <si>
    <t>OXL SHOPPING 2|WTVG|Weekday|01:35</t>
  </si>
  <si>
    <t>OXL SHOPPING 2|WTVG|Weekday|12am-6am</t>
  </si>
  <si>
    <t>OXL LK HO 39|WFMY</t>
  </si>
  <si>
    <t>OXL LK HO 39|WFMY|Thu</t>
  </si>
  <si>
    <t>OXL LK HO 39|WFMY|Thu|01:30</t>
  </si>
  <si>
    <t>OXL LK HO 39|WFMY|Weekday</t>
  </si>
  <si>
    <t>OXL LK HO 39|WFMY|Weekday|01:35</t>
  </si>
  <si>
    <t>OXL LK HO 39|WFMY|Weekday|12am-6am</t>
  </si>
  <si>
    <t>OXL LK HO 39|WPRI</t>
  </si>
  <si>
    <t>OXL LK HO 39|WPRI|Thu</t>
  </si>
  <si>
    <t>OXL LK HO 39|WPRI|Thu|01:30</t>
  </si>
  <si>
    <t>OXL LK HO 39|WPRI|Weekday</t>
  </si>
  <si>
    <t>OXL LK HO 39|WPRI|Weekday|01:35</t>
  </si>
  <si>
    <t>OXL LK HO 39|WPRI|Weekday|12am-6am</t>
  </si>
  <si>
    <t>OXL LK HO 39|WJTV</t>
  </si>
  <si>
    <t>OXL LK HO 39|WJTV|Thu</t>
  </si>
  <si>
    <t>OXL LK HO 39|WJTV|Thu|01:30</t>
  </si>
  <si>
    <t>OXL LK HO 39|WJTV|Weekday</t>
  </si>
  <si>
    <t>OXL LK HO 39|WJTV|Weekday|01:37</t>
  </si>
  <si>
    <t>OXL LK HO 39|WJTV|Weekday|12am-6am</t>
  </si>
  <si>
    <t>OXL LK HO 39|WCCT</t>
  </si>
  <si>
    <t>OXL LK HO 39|WCCT|Thu</t>
  </si>
  <si>
    <t>OXL LK HO 39|WCCT|Thu|02:00</t>
  </si>
  <si>
    <t>OXL LK HO 39|WCCT|Weekday</t>
  </si>
  <si>
    <t>OXL LK HO 39|WCCT|Weekday|02:00</t>
  </si>
  <si>
    <t>OXL LK HO 39|WCCT|Weekday|12am-6am</t>
  </si>
  <si>
    <t>OXL AP HO 39|VME TV</t>
  </si>
  <si>
    <t>OXL AP HO 39|VME TV|Thu</t>
  </si>
  <si>
    <t>OXL AP HO 39|VME TV|Thu|02:00</t>
  </si>
  <si>
    <t>OXL AP HO 39|VME TV|Weekday</t>
  </si>
  <si>
    <t>OXL AP HO 39|VME TV|Weekday|02:00</t>
  </si>
  <si>
    <t>OXL AP HO 39|VME TV|Weekday|12am-6am</t>
  </si>
  <si>
    <t>OXL SHOPPING 2|WMBC</t>
  </si>
  <si>
    <t>OXL SHOPPING 2|WMBC|Thu</t>
  </si>
  <si>
    <t>OXL SHOPPING 2|WMBC|Thu|02:00</t>
  </si>
  <si>
    <t>OXL SHOPPING 2|WMBC|Weekday</t>
  </si>
  <si>
    <t>OXL SHOPPING 2|WMBC|Weekday|02:00</t>
  </si>
  <si>
    <t>OXL SHOPPING 2|WMBC|Weekday|12am-6am</t>
  </si>
  <si>
    <t>OXL SHOPPING 2|WSVN</t>
  </si>
  <si>
    <t>OXL SHOPPING 2|WSVN|Thu</t>
  </si>
  <si>
    <t>OXL SHOPPING 2|WSVN|Thu|02:00</t>
  </si>
  <si>
    <t>OXL SHOPPING 2|WSVN|Weekday</t>
  </si>
  <si>
    <t>OXL SHOPPING 2|WSVN|Weekday|02:00</t>
  </si>
  <si>
    <t>OXL SHOPPING 2|WSVN|Weekday|12am-6am</t>
  </si>
  <si>
    <t>OXL LK HO 39|WGNO</t>
  </si>
  <si>
    <t>OXL LK HO 39|WGNO|Thu</t>
  </si>
  <si>
    <t>OXL LK HO 39|WGNO|Thu|02:00</t>
  </si>
  <si>
    <t>OXL LK HO 39|WGNO|Weekday</t>
  </si>
  <si>
    <t>OXL LK HO 39|WGNO|Weekday|02:00</t>
  </si>
  <si>
    <t>OXL LK HO 39|WGNO|Weekday|12am-6am</t>
  </si>
  <si>
    <t>OXL SHOPPING 2|WREG</t>
  </si>
  <si>
    <t>OXL SHOPPING 2|WREG|Thu</t>
  </si>
  <si>
    <t>OXL SHOPPING 2|WREG|Thu|02:00</t>
  </si>
  <si>
    <t>OXL SHOPPING 2|WREG|Weekday</t>
  </si>
  <si>
    <t>OXL SHOPPING 2|WREG|Weekday|02:07</t>
  </si>
  <si>
    <t>OXL SHOPPING 2|WREG|Weekday|12am-6am</t>
  </si>
  <si>
    <t>OXL SHOPPING 2|WKMG</t>
  </si>
  <si>
    <t>OXL SHOPPING 2|WKMG|Thu</t>
  </si>
  <si>
    <t>OXL SHOPPING 2|WKMG|Thu|02:00</t>
  </si>
  <si>
    <t>OXL SHOPPING 2|WKMG|Weekday</t>
  </si>
  <si>
    <t>OXL SHOPPING 2|WKMG|Weekday|02:07</t>
  </si>
  <si>
    <t>OXL SHOPPING 2|WKMG|Weekday|12am-6am</t>
  </si>
  <si>
    <t>OXL LK HO 39|WNYT</t>
  </si>
  <si>
    <t>OXL LK HO 39|WNYT|Thu</t>
  </si>
  <si>
    <t>OXL LK HO 39|WNYT|Thu|02:00</t>
  </si>
  <si>
    <t>OXL LK HO 39|WNYT|Weekday</t>
  </si>
  <si>
    <t>OXL LK HO 39|WNYT|Weekday|02:07</t>
  </si>
  <si>
    <t>OXL LK HO 39|WNYT|Weekday|12am-6am</t>
  </si>
  <si>
    <t>OXL AP HO 39|KXLA|Thu</t>
  </si>
  <si>
    <t>OXL AP HO 39|KXLA|Thu|04:00</t>
  </si>
  <si>
    <t>OXL AP HO 39|KXLA|Weekday</t>
  </si>
  <si>
    <t>OXL AP HO 39|KXLA|Weekday|04:00</t>
  </si>
  <si>
    <t>OXL AP HO 39|KXLA|Weekday|12am-6am</t>
  </si>
  <si>
    <t>OXL AP HO 39|KJLA</t>
  </si>
  <si>
    <t>OXL AP HO 39|KJLA|Thu</t>
  </si>
  <si>
    <t>OXL AP HO 39|KJLA|Thu|04:00</t>
  </si>
  <si>
    <t>OXL AP HO 39|KJLA|Weekday</t>
  </si>
  <si>
    <t>OXL AP HO 39|KJLA|Weekday|04:00</t>
  </si>
  <si>
    <t>OXL AP HO 39|KJLA|Weekday|12am-6am</t>
  </si>
  <si>
    <t>OXL LK HO 39|KJRH</t>
  </si>
  <si>
    <t>OXL LK HO 39|KJRH|Thu</t>
  </si>
  <si>
    <t>OXL LK HO 39|KJRH|Thu|04:00</t>
  </si>
  <si>
    <t>OXL LK HO 39|KJRH|Weekday</t>
  </si>
  <si>
    <t>OXL LK HO 39|KJRH|Weekday|04:00</t>
  </si>
  <si>
    <t>OXL LK HO 39|KJRH|Weekday|12am-6am</t>
  </si>
  <si>
    <t>OXL LK HO 39|KIKU</t>
  </si>
  <si>
    <t>OXL LK HO 39|KIKU|Thu</t>
  </si>
  <si>
    <t>OXL LK HO 39|KIKU|Thu|04:00</t>
  </si>
  <si>
    <t>OXL LK HO 39|KIKU|Weekday</t>
  </si>
  <si>
    <t>OXL LK HO 39|KIKU|Weekday|04:00</t>
  </si>
  <si>
    <t>OXL LK HO 39|KIKU|Weekday|12am-6am</t>
  </si>
  <si>
    <t>OXL AP HO 39|FORO</t>
  </si>
  <si>
    <t>OXL AP HO 39|FORO|Thu</t>
  </si>
  <si>
    <t>OXL AP HO 39|FORO|Thu|04:00</t>
  </si>
  <si>
    <t>OXL AP HO 39|FORO|Weekday</t>
  </si>
  <si>
    <t>OXL AP HO 39|FORO|Weekday|04:00</t>
  </si>
  <si>
    <t>OXL AP HO 39|FORO|Weekday|12am-6am</t>
  </si>
  <si>
    <t>OXL LK HO 39|WWCP</t>
  </si>
  <si>
    <t>OXL LK HO 39|WWCP|Thu</t>
  </si>
  <si>
    <t>OXL LK HO 39|WWCP|Thu|04:00</t>
  </si>
  <si>
    <t>OXL LK HO 39|WWCP|Weekday</t>
  </si>
  <si>
    <t>OXL LK HO 39|WWCP|Weekday|04:00</t>
  </si>
  <si>
    <t>OXL LK HO 39|WWCP|Weekday|12am-6am</t>
  </si>
  <si>
    <t>OXL SHOPPING 2|WRBW</t>
  </si>
  <si>
    <t>OXL SHOPPING 2|WRBW|Thu</t>
  </si>
  <si>
    <t>OXL SHOPPING 2|WRBW|Thu|04:00</t>
  </si>
  <si>
    <t>OXL SHOPPING 2|WRBW|Weekday</t>
  </si>
  <si>
    <t>OXL SHOPPING 2|WRBW|Weekday|04:00</t>
  </si>
  <si>
    <t>OXL SHOPPING 2|WRBW|Weekday|12am-6am</t>
  </si>
  <si>
    <t>OXL AP HO 39|GALA</t>
  </si>
  <si>
    <t>OXL AP HO 39|GALA|Thu</t>
  </si>
  <si>
    <t>OXL AP HO 39|GALA|Thu|04:00</t>
  </si>
  <si>
    <t>OXL AP HO 39|GALA|Weekday</t>
  </si>
  <si>
    <t>OXL AP HO 39|GALA|Weekday|04:00</t>
  </si>
  <si>
    <t>OXL AP HO 39|GALA|Weekday|12am-6am</t>
  </si>
  <si>
    <t>OXL LK HO 39|WEAU</t>
  </si>
  <si>
    <t>OXL LK HO 39|WEAU|Thu</t>
  </si>
  <si>
    <t>OXL LK HO 39|WEAU|Thu|04:00</t>
  </si>
  <si>
    <t>OXL LK HO 39|WEAU|Weekday</t>
  </si>
  <si>
    <t>OXL LK HO 39|WEAU|Weekday|04:00</t>
  </si>
  <si>
    <t>OXL LK HO 39|WEAU|Weekday|12am-6am</t>
  </si>
  <si>
    <t>OXL SHOPPING 2|EGGB</t>
  </si>
  <si>
    <t>OXL SHOPPING 2|EGGB|Thu</t>
  </si>
  <si>
    <t>OXL SHOPPING 2|EGGB|Thu|04:00</t>
  </si>
  <si>
    <t>OXL SHOPPING 2|EGGB|Weekday</t>
  </si>
  <si>
    <t>OXL SHOPPING 2|EGGB|Weekday|04:00</t>
  </si>
  <si>
    <t>OXL SHOPPING 2|EGGB|Weekday|12am-6am</t>
  </si>
  <si>
    <t>OXL AP HO 39|TELENOV</t>
  </si>
  <si>
    <t>OXL AP HO 39|TELENOV|Thu</t>
  </si>
  <si>
    <t>OXL AP HO 39|TELENOV|Thu|04:00</t>
  </si>
  <si>
    <t>OXL AP HO 39|TELENOV|Weekday</t>
  </si>
  <si>
    <t>OXL AP HO 39|TELENOV|Weekday|04:00</t>
  </si>
  <si>
    <t>OXL AP HO 39|TELENOV|Weekday|12am-6am</t>
  </si>
  <si>
    <t>OXL AP HO 39|KUTH</t>
  </si>
  <si>
    <t>OXL AP HO 39|KUTH|Thu</t>
  </si>
  <si>
    <t>OXL AP HO 39|KUTH|Thu|04:00</t>
  </si>
  <si>
    <t>OXL AP HO 39|KUTH|Weekday</t>
  </si>
  <si>
    <t>OXL AP HO 39|KUTH|Weekday|04:00</t>
  </si>
  <si>
    <t>OXL AP HO 39|KUTH|Weekday|12am-6am</t>
  </si>
  <si>
    <t>OXL SHOPPING 2|CWPLUS</t>
  </si>
  <si>
    <t>OXL SHOPPING 2|CWPLUS|Thu</t>
  </si>
  <si>
    <t>OXL SHOPPING 2|CWPLUS|Thu|04:00</t>
  </si>
  <si>
    <t>OXL SHOPPING 2|CWPLUS|Weekday</t>
  </si>
  <si>
    <t>OXL SHOPPING 2|CWPLUS|Weekday|04:00</t>
  </si>
  <si>
    <t>OXL SHOPPING 2|CWPLUS|Weekday|12am-6am</t>
  </si>
  <si>
    <t>OXL SHOPPING 2|NBC SP BAY</t>
  </si>
  <si>
    <t>OXL SHOPPING 2|NBC SP BAY|Thu</t>
  </si>
  <si>
    <t>OXL SHOPPING 2|NBC SP BAY|Thu|04:00</t>
  </si>
  <si>
    <t>OXL SHOPPING 2|NBC SP BAY|Weekday</t>
  </si>
  <si>
    <t>OXL SHOPPING 2|NBC SP BAY|Weekday|04:00</t>
  </si>
  <si>
    <t>OXL SHOPPING 2|NBC SP BAY|Weekday|12am-6am</t>
  </si>
  <si>
    <t>OXL LK HO 39|EL REY</t>
  </si>
  <si>
    <t>OXL LK HO 39|EL REY|Thu</t>
  </si>
  <si>
    <t>OXL LK HO 39|EL REY|Thu|04:00</t>
  </si>
  <si>
    <t>OXL LK HO 39|EL REY|Weekday</t>
  </si>
  <si>
    <t>OXL LK HO 39|EL REY|Weekday|04:00</t>
  </si>
  <si>
    <t>OXL LK HO 39|EL REY|Weekday|12am-6am</t>
  </si>
  <si>
    <t>OXL AP HO 39|FSES</t>
  </si>
  <si>
    <t>OXL AP HO 39|FSES|Thu</t>
  </si>
  <si>
    <t>OXL AP HO 39|FSES|Thu|04:00</t>
  </si>
  <si>
    <t>OXL AP HO 39|FSES|Weekday</t>
  </si>
  <si>
    <t>OXL AP HO 39|FSES|Weekday|04:00</t>
  </si>
  <si>
    <t>OXL AP HO 39|FSES|Weekday|12am-6am</t>
  </si>
  <si>
    <t>OXL SHOPPING 2|MSG</t>
  </si>
  <si>
    <t>OXL SHOPPING 2|MSG|Thu</t>
  </si>
  <si>
    <t>OXL SHOPPING 2|MSG|Thu|04:00</t>
  </si>
  <si>
    <t>OXL SHOPPING 2|MSG|Weekday</t>
  </si>
  <si>
    <t>OXL SHOPPING 2|MSG|Weekday|04:00</t>
  </si>
  <si>
    <t>OXL SHOPPING 2|MSG|Weekday|12am-6am</t>
  </si>
  <si>
    <t>OXL LK HO 39|WPWR</t>
  </si>
  <si>
    <t>OXL LK HO 39|WPWR|Thu</t>
  </si>
  <si>
    <t>OXL LK HO 39|WPWR|Thu|04:00</t>
  </si>
  <si>
    <t>OXL LK HO 39|WPWR|Weekday</t>
  </si>
  <si>
    <t>OXL LK HO 39|WPWR|Weekday|04:00</t>
  </si>
  <si>
    <t>OXL LK HO 39|WPWR|Weekday|12am-6am</t>
  </si>
  <si>
    <t>OXL AP HO 39|KJLA|Thu|04:30</t>
  </si>
  <si>
    <t>OXL AP HO 39|KJLA|Weekday|04:30</t>
  </si>
  <si>
    <t>OXL AP HO 39|FORO|Thu|04:30</t>
  </si>
  <si>
    <t>OXL AP HO 39|FORO|Weekday|04:30</t>
  </si>
  <si>
    <t>OXL SHOPPING 2|WMBC|Thu|02:30</t>
  </si>
  <si>
    <t>OXL SHOPPING 2|WMBC|Weekday|02:30</t>
  </si>
  <si>
    <t>OXL LK HO 39|WAPT</t>
  </si>
  <si>
    <t>OXL LK HO 39|WAPT|Thu</t>
  </si>
  <si>
    <t>OXL LK HO 39|WAPT|Thu|02:30</t>
  </si>
  <si>
    <t>OXL LK HO 39|WAPT|Weekday</t>
  </si>
  <si>
    <t>OXL LK HO 39|WAPT|Weekday|02:38</t>
  </si>
  <si>
    <t>OXL LK HO 39|WAPT|Weekday|12am-6am</t>
  </si>
  <si>
    <t>OXL LK HO 39|WISC</t>
  </si>
  <si>
    <t>OXL LK HO 39|WISC|Thu</t>
  </si>
  <si>
    <t>OXL LK HO 39|WISC|Thu|02:30</t>
  </si>
  <si>
    <t>OXL LK HO 39|WISC|Weekday</t>
  </si>
  <si>
    <t>OXL LK HO 39|WISC|Weekday|02:38</t>
  </si>
  <si>
    <t>OXL LK HO 39|WISC|Weekday|12am-6am</t>
  </si>
  <si>
    <t>OXL SHOPPING 2|KYW</t>
  </si>
  <si>
    <t>OXL SHOPPING 2|KYW|Thu</t>
  </si>
  <si>
    <t>OXL SHOPPING 2|KYW|Thu|02:30</t>
  </si>
  <si>
    <t>OXL SHOPPING 2|KYW|Weekday</t>
  </si>
  <si>
    <t>OXL SHOPPING 2|KYW|Weekday|02:40</t>
  </si>
  <si>
    <t>OXL SHOPPING 2|KYW|Weekday|12am-6am</t>
  </si>
  <si>
    <t>OXL LK HO 39|WHDH</t>
  </si>
  <si>
    <t>OXL LK HO 39|WHDH|Thu</t>
  </si>
  <si>
    <t>OXL LK HO 39|WHDH|Thu|03:00</t>
  </si>
  <si>
    <t>OXL LK HO 39|WHDH|Weekday</t>
  </si>
  <si>
    <t>OXL LK HO 39|WHDH|Weekday|03:00</t>
  </si>
  <si>
    <t>OXL LK HO 39|WHDH|Weekday|12am-6am</t>
  </si>
  <si>
    <t>OXL AP HO 39|WSCVDT</t>
  </si>
  <si>
    <t>OXL AP HO 39|WSCVDT|Thu</t>
  </si>
  <si>
    <t>OXL AP HO 39|WSCVDT|Thu|03:00</t>
  </si>
  <si>
    <t>OXL AP HO 39|WSCVDT|Weekday</t>
  </si>
  <si>
    <t>OXL AP HO 39|WSCVDT|Weekday|03:00</t>
  </si>
  <si>
    <t>OXL AP HO 39|WSCVDT|Weekday|12am-6am</t>
  </si>
  <si>
    <t>OXL LK HO 39|MSGVARSITY</t>
  </si>
  <si>
    <t>OXL LK HO 39|MSGVARSITY|Thu</t>
  </si>
  <si>
    <t>OXL LK HO 39|MSGVARSITY|Thu|03:00</t>
  </si>
  <si>
    <t>OXL LK HO 39|MSGVARSITY|Weekday</t>
  </si>
  <si>
    <t>OXL LK HO 39|MSGVARSITY|Weekday|03:00</t>
  </si>
  <si>
    <t>OXL LK HO 39|MSGVARSITY|Weekday|12am-6am</t>
  </si>
  <si>
    <t>OXL AP HO 39|KXTX</t>
  </si>
  <si>
    <t>OXL AP HO 39|KXTX|Thu</t>
  </si>
  <si>
    <t>OXL AP HO 39|KXTX|Thu|03:00</t>
  </si>
  <si>
    <t>OXL AP HO 39|KXTX|Weekday</t>
  </si>
  <si>
    <t>OXL AP HO 39|KXTX|Weekday|03:00</t>
  </si>
  <si>
    <t>OXL AP HO 39|KXTX|Weekday|12am-6am</t>
  </si>
  <si>
    <t>OXL AP HO 39|KWEX</t>
  </si>
  <si>
    <t>OXL AP HO 39|KWEX|Thu</t>
  </si>
  <si>
    <t>OXL AP HO 39|KWEX|Thu|03:00</t>
  </si>
  <si>
    <t>OXL AP HO 39|KWEX|Weekday</t>
  </si>
  <si>
    <t>OXL AP HO 39|KWEX|Weekday|03:00</t>
  </si>
  <si>
    <t>OXL AP HO 39|KWEX|Weekday|12am-6am</t>
  </si>
  <si>
    <t>OXL AP HO 39|FORO|Thu|03:00</t>
  </si>
  <si>
    <t>OXL AP HO 39|FORO|Weekday|03:00</t>
  </si>
  <si>
    <t>OXL AP HO 39|VME TV|Thu|03:00</t>
  </si>
  <si>
    <t>OXL AP HO 39|VME TV|Weekday|03:00</t>
  </si>
  <si>
    <t>OXL SHOPPING 2|WRBW|Thu|03:00</t>
  </si>
  <si>
    <t>OXL SHOPPING 2|WRBW|Weekday|03:00</t>
  </si>
  <si>
    <t>OXL LK HO 39|WWAY</t>
  </si>
  <si>
    <t>OXL LK HO 39|WWAY|Thu</t>
  </si>
  <si>
    <t>OXL LK HO 39|WWAY|Thu|03:00</t>
  </si>
  <si>
    <t>OXL LK HO 39|WWAY|Weekday</t>
  </si>
  <si>
    <t>OXL LK HO 39|WWAY|Weekday|03:00</t>
  </si>
  <si>
    <t>OXL LK HO 39|WWAY|Weekday|12am-6am</t>
  </si>
  <si>
    <t>OXL LK HO 39|FSD</t>
  </si>
  <si>
    <t>OXL LK HO 39|FSD|Thu</t>
  </si>
  <si>
    <t>OXL LK HO 39|FSD|Thu|03:00</t>
  </si>
  <si>
    <t>OXL LK HO 39|FSD|Weekday</t>
  </si>
  <si>
    <t>OXL LK HO 39|FSD|Weekday|03:00</t>
  </si>
  <si>
    <t>OXL LK HO 39|FSD|Weekday|12am-6am</t>
  </si>
  <si>
    <t>OXL AP HO 39|WXTV</t>
  </si>
  <si>
    <t>OXL AP HO 39|WXTV|Thu</t>
  </si>
  <si>
    <t>OXL AP HO 39|WXTV|Thu|03:00</t>
  </si>
  <si>
    <t>OXL AP HO 39|WXTV|Weekday</t>
  </si>
  <si>
    <t>OXL AP HO 39|WXTV|Weekday|03:00</t>
  </si>
  <si>
    <t>OXL AP HO 39|WXTV|Weekday|12am-6am</t>
  </si>
  <si>
    <t>OXL AP HO 39|UNIMAS_FULL</t>
  </si>
  <si>
    <t>OXL AP HO 39|UNIMAS_FULL|Thu</t>
  </si>
  <si>
    <t>OXL AP HO 39|UNIMAS_FULL|Thu|03:00</t>
  </si>
  <si>
    <t>OXL AP HO 39|UNIMAS_FULL|Weekday</t>
  </si>
  <si>
    <t>OXL AP HO 39|UNIMAS_FULL|Weekday|03:00</t>
  </si>
  <si>
    <t>OXL AP HO 39|UNIMAS_FULL|Weekday|12am-6am</t>
  </si>
  <si>
    <t>OXL AP HO 39|TELENOV|Thu|03:00</t>
  </si>
  <si>
    <t>OXL AP HO 39|TELENOV|Weekday|03:00</t>
  </si>
  <si>
    <t>OXL AP HO 39|DSCF</t>
  </si>
  <si>
    <t>OXL AP HO 39|DSCF|Thu</t>
  </si>
  <si>
    <t>OXL AP HO 39|DSCF|Thu|03:00</t>
  </si>
  <si>
    <t>OXL AP HO 39|DSCF|Weekday</t>
  </si>
  <si>
    <t>OXL AP HO 39|DSCF|Weekday|03:00</t>
  </si>
  <si>
    <t>OXL AP HO 39|DSCF|Weekday|12am-6am</t>
  </si>
  <si>
    <t>OXL AP HO 39|TELENOV|Thu|05:30</t>
  </si>
  <si>
    <t>OXL AP HO 39|TELENOV|Weekday|05:30</t>
  </si>
  <si>
    <t>OXL AP HO 39|WAMI</t>
  </si>
  <si>
    <t>OXL AP HO 39|WAMI|Thu</t>
  </si>
  <si>
    <t>OXL AP HO 39|WAMI|Thu|05:30</t>
  </si>
  <si>
    <t>OXL AP HO 39|WAMI|Weekday</t>
  </si>
  <si>
    <t>OXL AP HO 39|WAMI|Weekday|05:30</t>
  </si>
  <si>
    <t>OXL AP HO 39|WAMI|Weekday|12am-6am</t>
  </si>
  <si>
    <t>OXL SHOPPING 2|CSN</t>
  </si>
  <si>
    <t>OXL SHOPPING 2|CSN|Thu</t>
  </si>
  <si>
    <t>OXL SHOPPING 2|CSN|Thu|05:30</t>
  </si>
  <si>
    <t>OXL SHOPPING 2|CSN|Weekday</t>
  </si>
  <si>
    <t>OXL SHOPPING 2|CSN|Weekday|05:30</t>
  </si>
  <si>
    <t>OXL SHOPPING 2|CSN|Weekday|12am-6am</t>
  </si>
  <si>
    <t>OXL AP HO 39|WFUT</t>
  </si>
  <si>
    <t>OXL AP HO 39|WFUT|Thu</t>
  </si>
  <si>
    <t>OXL AP HO 39|WFUT|Thu|05:30</t>
  </si>
  <si>
    <t>OXL AP HO 39|WFUT|Weekday</t>
  </si>
  <si>
    <t>OXL AP HO 39|WFUT|Weekday|05:30</t>
  </si>
  <si>
    <t>OXL AP HO 39|WFUT|Weekday|12am-6am</t>
  </si>
  <si>
    <t>OXL LK HO 39|KFXK</t>
  </si>
  <si>
    <t>OXL LK HO 39|KFXK|Thu</t>
  </si>
  <si>
    <t>OXL LK HO 39|KFXK|Thu|05:30</t>
  </si>
  <si>
    <t>OXL LK HO 39|KFXK|Weekday</t>
  </si>
  <si>
    <t>OXL LK HO 39|KFXK|Weekday|05:30</t>
  </si>
  <si>
    <t>OXL LK HO 39|KFXK|Weekday|12am-6am</t>
  </si>
  <si>
    <t>OXL AP HO 39|UNIMAS_FULL|Thu|06:00</t>
  </si>
  <si>
    <t>OXL AP HO 39|UNIMAS_FULL|Weekday|06:00</t>
  </si>
  <si>
    <t>OXL AP HO 39|UNIMAS_FULL|Weekday|6am-12pm</t>
  </si>
  <si>
    <t>OXL AP HO 39|KJLA|Thu|06:00</t>
  </si>
  <si>
    <t>OXL AP HO 39|KJLA|Weekday|06:00</t>
  </si>
  <si>
    <t>OXL AP HO 39|KJLA|Weekday|6am-12pm</t>
  </si>
  <si>
    <t>OXL LK HO 39|WCAV</t>
  </si>
  <si>
    <t>OXL LK HO 39|WCAV|Thu</t>
  </si>
  <si>
    <t>OXL LK HO 39|WCAV|Thu|06:00</t>
  </si>
  <si>
    <t>OXL LK HO 39|WCAV|Weekday</t>
  </si>
  <si>
    <t>OXL LK HO 39|WCAV|Weekday|06:00</t>
  </si>
  <si>
    <t>OXL LK HO 39|WCAV|Weekday|6am-12pm</t>
  </si>
  <si>
    <t>OXL LK HO 39|WMYS</t>
  </si>
  <si>
    <t>OXL LK HO 39|WMYS|Thu</t>
  </si>
  <si>
    <t>OXL LK HO 39|WMYS|Thu|06:00</t>
  </si>
  <si>
    <t>OXL LK HO 39|WMYS|Weekday</t>
  </si>
  <si>
    <t>OXL LK HO 39|WMYS|Weekday|06:00</t>
  </si>
  <si>
    <t>OXL LK HO 39|WMYS|Weekday|6am-12pm</t>
  </si>
  <si>
    <t>OXL LK HO 39|KAUZ-DT2</t>
  </si>
  <si>
    <t>OXL LK HO 39|KAUZ-DT2|Thu</t>
  </si>
  <si>
    <t>OXL LK HO 39|KAUZ-DT2|Thu|06:00</t>
  </si>
  <si>
    <t>OXL LK HO 39|KAUZ-DT2|Weekday</t>
  </si>
  <si>
    <t>OXL LK HO 39|KAUZ-DT2|Weekday|06:00</t>
  </si>
  <si>
    <t>OXL LK HO 39|KAUZ-DT2|Weekday|6am-12pm</t>
  </si>
  <si>
    <t>OXL LK HO 39|KUBE</t>
  </si>
  <si>
    <t>OXL LK HO 39|KUBE|Thu</t>
  </si>
  <si>
    <t>OXL LK HO 39|KUBE|Thu|06:00</t>
  </si>
  <si>
    <t>OXL LK HO 39|KUBE|Weekday</t>
  </si>
  <si>
    <t>OXL LK HO 39|KUBE|Weekday|06:00</t>
  </si>
  <si>
    <t>OXL LK HO 39|KUBE|Weekday|6am-12pm</t>
  </si>
  <si>
    <t>OXL AP HO 39|TELENOV|Thu|06:00</t>
  </si>
  <si>
    <t>OXL AP HO 39|TELENOV|Weekday|06:00</t>
  </si>
  <si>
    <t>OXL AP HO 39|TELENOV|Weekday|6am-12pm</t>
  </si>
  <si>
    <t>OXL LK HO 39|KDFI</t>
  </si>
  <si>
    <t>OXL LK HO 39|KDFI|Thu</t>
  </si>
  <si>
    <t>OXL LK HO 39|KDFI|Thu|06:00</t>
  </si>
  <si>
    <t>OXL LK HO 39|KDFI|Weekday</t>
  </si>
  <si>
    <t>OXL LK HO 39|KDFI|Weekday|06:00</t>
  </si>
  <si>
    <t>OXL LK HO 39|KDFI|Weekday|6am-12pm</t>
  </si>
  <si>
    <t>OXL SHOPPING 2|KTVU|Thu</t>
  </si>
  <si>
    <t>OXL SHOPPING 2|KTVU|Thu|06:00</t>
  </si>
  <si>
    <t>OXL SHOPPING 2|KTVU|Weekday</t>
  </si>
  <si>
    <t>OXL SHOPPING 2|KTVU|Weekday|06:00</t>
  </si>
  <si>
    <t>OXL SHOPPING 2|KTVU|Weekday|6am-12pm</t>
  </si>
  <si>
    <t>OXL SHOPPING 2|WRNN|Thu</t>
  </si>
  <si>
    <t>OXL SHOPPING 2|WRNN|Thu|05:00</t>
  </si>
  <si>
    <t>OXL SHOPPING 2|WRNN|Weekday</t>
  </si>
  <si>
    <t>OXL SHOPPING 2|WRNN|Weekday|05:00</t>
  </si>
  <si>
    <t>OXL SHOPPING 2|WRNN|Weekday|12am-6am</t>
  </si>
  <si>
    <t>OXL LK HO 39|KUBE|Thu|05:00</t>
  </si>
  <si>
    <t>OXL LK HO 39|KUBE|Weekday|05:00</t>
  </si>
  <si>
    <t>OXL LK HO 39|KUBE|Weekday|12am-6am</t>
  </si>
  <si>
    <t>OXL LK HO 39|WISE TV</t>
  </si>
  <si>
    <t>OXL LK HO 39|WISE TV|Thu</t>
  </si>
  <si>
    <t>OXL LK HO 39|WISE TV|Thu|05:00</t>
  </si>
  <si>
    <t>OXL LK HO 39|WISE TV|Weekday</t>
  </si>
  <si>
    <t>OXL LK HO 39|WISE TV|Weekday|05:00</t>
  </si>
  <si>
    <t>OXL LK HO 39|WISE TV|Weekday|12am-6am</t>
  </si>
  <si>
    <t>OXL AP HO 39|WTNC</t>
  </si>
  <si>
    <t>OXL AP HO 39|WTNC|Thu</t>
  </si>
  <si>
    <t>OXL AP HO 39|WTNC|Thu|05:00</t>
  </si>
  <si>
    <t>OXL AP HO 39|WTNC|Weekday</t>
  </si>
  <si>
    <t>OXL AP HO 39|WTNC|Weekday|05:00</t>
  </si>
  <si>
    <t>OXL AP HO 39|WTNC|Weekday|12am-6am</t>
  </si>
  <si>
    <t>OXL AP HO 39|WWSI</t>
  </si>
  <si>
    <t>OXL AP HO 39|WWSI|Thu</t>
  </si>
  <si>
    <t>OXL AP HO 39|WWSI|Thu|05:00</t>
  </si>
  <si>
    <t>OXL AP HO 39|WWSI|Weekday</t>
  </si>
  <si>
    <t>OXL AP HO 39|WWSI|Weekday|05:00</t>
  </si>
  <si>
    <t>OXL AP HO 39|WWSI|Weekday|12am-6am</t>
  </si>
  <si>
    <t>OXL AP HO 39|TELENOV|Thu|05:00</t>
  </si>
  <si>
    <t>OXL AP HO 39|TELENOV|Weekday|05:00</t>
  </si>
  <si>
    <t>OXL SHOPPING 2|CSNP</t>
  </si>
  <si>
    <t>OXL SHOPPING 2|CSNP|Thu</t>
  </si>
  <si>
    <t>OXL SHOPPING 2|CSNP|Thu|05:00</t>
  </si>
  <si>
    <t>OXL SHOPPING 2|CSNP|Weekday</t>
  </si>
  <si>
    <t>OXL SHOPPING 2|CSNP|Weekday|05:00</t>
  </si>
  <si>
    <t>OXL SHOPPING 2|CSNP|Weekday|12am-6am</t>
  </si>
  <si>
    <t>OXL SHOPPING 2|FSOH</t>
  </si>
  <si>
    <t>OXL SHOPPING 2|FSOH|Thu</t>
  </si>
  <si>
    <t>OXL SHOPPING 2|FSOH|Thu|05:00</t>
  </si>
  <si>
    <t>OXL SHOPPING 2|FSOH|Weekday</t>
  </si>
  <si>
    <t>OXL SHOPPING 2|FSOH|Weekday|05:00</t>
  </si>
  <si>
    <t>OXL SHOPPING 2|FSOH|Weekday|12am-6am</t>
  </si>
  <si>
    <t>OXL SHOPPING 2|WDCW</t>
  </si>
  <si>
    <t>OXL SHOPPING 2|WDCW|Thu</t>
  </si>
  <si>
    <t>OXL SHOPPING 2|WDCW|Thu|05:00</t>
  </si>
  <si>
    <t>OXL SHOPPING 2|WDCW|Weekday</t>
  </si>
  <si>
    <t>OXL SHOPPING 2|WDCW|Weekday|05:00</t>
  </si>
  <si>
    <t>OXL SHOPPING 2|WDCW|Weekday|12am-6am</t>
  </si>
  <si>
    <t>OXL AP HO 39|KJLA|Thu|05:30</t>
  </si>
  <si>
    <t>OXL AP HO 39|KJLA|Weekday|05:30</t>
  </si>
  <si>
    <t>OXL AP HO 39|KTFO</t>
  </si>
  <si>
    <t>OXL AP HO 39|KTFO|Thu</t>
  </si>
  <si>
    <t>OXL AP HO 39|KTFO|Thu|05:30</t>
  </si>
  <si>
    <t>OXL AP HO 39|KTFO|Weekday</t>
  </si>
  <si>
    <t>OXL AP HO 39|KTFO|Weekday|05:30</t>
  </si>
  <si>
    <t>OXL AP HO 39|KTFO|Weekday|12am-6am</t>
  </si>
  <si>
    <t>OXL AP HO 39|FORO|Thu|05:30</t>
  </si>
  <si>
    <t>OXL AP HO 39|FORO|Weekday|05:30</t>
  </si>
  <si>
    <t>OXL LK HO 39|WPWR|Thu|05:30</t>
  </si>
  <si>
    <t>OXL LK HO 39|WPWR|Weekday|05:30</t>
  </si>
  <si>
    <t>OXL LK HO 39|REVOLT TV</t>
  </si>
  <si>
    <t>OXL LK HO 39|REVOLT TV|Thu</t>
  </si>
  <si>
    <t>OXL LK HO 39|REVOLT TV|Thu|05:30</t>
  </si>
  <si>
    <t>OXL LK HO 39|REVOLT TV|Weekday</t>
  </si>
  <si>
    <t>OXL LK HO 39|REVOLT TV|Weekday|05:30</t>
  </si>
  <si>
    <t>OXL LK HO 39|REVOLT TV|Weekday|12am-6am</t>
  </si>
  <si>
    <t>OXL AP HO 39|GALA|Thu|05:30</t>
  </si>
  <si>
    <t>OXL AP HO 39|GALA|Weekday|05:30</t>
  </si>
  <si>
    <t>OXL SHOPPING 2|CHARGE</t>
  </si>
  <si>
    <t>OXL SHOPPING 2|CHARGE|Thu</t>
  </si>
  <si>
    <t>OXL SHOPPING 2|CHARGE|Thu|05:30</t>
  </si>
  <si>
    <t>OXL SHOPPING 2|CHARGE|Weekday</t>
  </si>
  <si>
    <t>OXL SHOPPING 2|CHARGE|Weekday|05:30</t>
  </si>
  <si>
    <t>OXL SHOPPING 2|CHARGE|Weekday|12am-6am</t>
  </si>
  <si>
    <t>OXL AP HO 39|WTNC|Thu|05:30</t>
  </si>
  <si>
    <t>OXL AP HO 39|WTNC|Weekday|05:30</t>
  </si>
  <si>
    <t>OXL AP HO 39|WWSI|Thu|05:30</t>
  </si>
  <si>
    <t>OXL AP HO 39|WWSI|Weekday|05:30</t>
  </si>
  <si>
    <t>Header1</t>
  </si>
  <si>
    <t>Header2</t>
  </si>
  <si>
    <t>Header3</t>
  </si>
  <si>
    <t>Header4</t>
  </si>
  <si>
    <t>Header5</t>
  </si>
  <si>
    <t>Header6</t>
  </si>
  <si>
    <t>Macro Steps</t>
  </si>
  <si>
    <t>Step 1:</t>
  </si>
  <si>
    <t>Step 2:</t>
  </si>
  <si>
    <t>Manually add files to folder labelled "rd" (Raw-Data)</t>
  </si>
  <si>
    <t>Macro will open all .xls files in "rd" and copy their data</t>
  </si>
  <si>
    <t>Step 3:</t>
  </si>
  <si>
    <t>Macro Will paste the data in sheet labelled Sample</t>
  </si>
  <si>
    <t>Step 4:</t>
  </si>
  <si>
    <t>Step 5:</t>
  </si>
  <si>
    <t>Manually inspect sample sheet for defects</t>
  </si>
  <si>
    <t>I AM 123 ONE</t>
  </si>
  <si>
    <t>OXL SHOPPING 2|TLNCH|Thu I AM 123 ONE</t>
  </si>
  <si>
    <t>ANOTHER ONE</t>
  </si>
  <si>
    <t>ANOTHER 20</t>
  </si>
  <si>
    <t>I AM BLAH ONE</t>
  </si>
  <si>
    <t>I AM BLAH 32</t>
  </si>
  <si>
    <t>RANDOM ONE</t>
  </si>
  <si>
    <t>RANDOM THIRTY TWO</t>
  </si>
  <si>
    <t>Click on Export to export data to new .xls file</t>
  </si>
  <si>
    <t>Step 6: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</si>
</sst>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28575</xdr:rowOff>
        </xdr:from>
        <xdr:to>
          <xdr:col>2</xdr:col>
          <xdr:colOff>571500</xdr:colOff>
          <xdr:row>2</xdr:row>
          <xdr:rowOff>161925</xdr:rowOff>
        </xdr:to>
        <xdr:sp macro="" textlink="">
          <xdr:nvSpPr>
            <xdr:cNvPr id="1025" name="Button 1" descr="Run Merg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Merger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28575</xdr:rowOff>
        </xdr:from>
        <xdr:to>
          <xdr:col>2</xdr:col>
          <xdr:colOff>571500</xdr:colOff>
          <xdr:row>5</xdr:row>
          <xdr:rowOff>161925</xdr:rowOff>
        </xdr:to>
        <xdr:sp macro="" textlink="">
          <xdr:nvSpPr>
            <xdr:cNvPr id="1026" name="Button 2" descr="Run Merg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Sample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0A7CE-6985-45C8-879C-D27070E7CF50}">
  <sheetPr codeName="Run"/>
  <dimension ref="A1:U98"/>
  <sheetViews>
    <sheetView zoomScale="175" zoomScaleNormal="175" workbookViewId="0">
      <selection activeCell="G8" sqref="G8"/>
    </sheetView>
  </sheetViews>
  <sheetFormatPr defaultRowHeight="15" x14ac:dyDescent="0.25"/>
  <cols>
    <col min="2" max="2" width="9.140625" customWidth="1"/>
    <col min="7" max="7" width="48.5703125" customWidth="1"/>
  </cols>
  <sheetData>
    <row r="1" spans="1:21" x14ac:dyDescent="0.25">
      <c r="A1" s="1"/>
      <c r="O1" s="1" t="s">
        <v>421</v>
      </c>
      <c r="P1" s="1" t="s">
        <v>422</v>
      </c>
      <c r="Q1" s="1" t="s">
        <v>423</v>
      </c>
      <c r="R1" s="1" t="s">
        <v>424</v>
      </c>
      <c r="S1" s="1" t="s">
        <v>425</v>
      </c>
      <c r="T1" s="1" t="s">
        <v>426</v>
      </c>
      <c r="U1">
        <f>COUNTIFS($A$2:$A$98, A2, $B$2:$B$98, B2, $C$2:$C$98, C2, $D$2:$D$98, D2, $E$2:$E$98, E2, $F$2:$F$98, F2)</f>
        <v>0</v>
      </c>
    </row>
    <row r="2" spans="1:21" x14ac:dyDescent="0.25">
      <c r="F2" s="5" t="s">
        <v>427</v>
      </c>
      <c r="G2" s="5"/>
      <c r="O2" t="s">
        <v>437</v>
      </c>
      <c r="P2" t="s">
        <v>438</v>
      </c>
      <c r="Q2" t="s">
        <v>0</v>
      </c>
      <c r="R2" t="s">
        <v>1</v>
      </c>
      <c r="S2" t="s">
        <v>2</v>
      </c>
      <c r="T2" t="s">
        <v>3</v>
      </c>
      <c r="U2">
        <f>COUNTIFS($O$2:$O$98, O2, $P$2:$P$98, P2, $Q$2:$Q$98, Q2, $R$2:$R$98, R2, $S$2:$S$98, S2, $T$2:$T$98, T2)</f>
        <v>1</v>
      </c>
    </row>
    <row r="3" spans="1:21" x14ac:dyDescent="0.25">
      <c r="F3" s="2" t="s">
        <v>428</v>
      </c>
      <c r="G3" s="3" t="s">
        <v>430</v>
      </c>
      <c r="O3" t="s">
        <v>4</v>
      </c>
      <c r="P3" t="s">
        <v>5</v>
      </c>
      <c r="Q3" t="s">
        <v>6</v>
      </c>
      <c r="R3" t="s">
        <v>7</v>
      </c>
      <c r="S3" t="s">
        <v>8</v>
      </c>
      <c r="T3" t="s">
        <v>9</v>
      </c>
      <c r="U3">
        <f t="shared" ref="U3:U66" si="0">COUNTIFS($O$2:$O$98, O3, $P$2:$P$98, P3, $Q$2:$Q$98, Q3, $R$2:$R$98, R3, $S$2:$S$98, S3, $T$2:$T$98, T3)</f>
        <v>1</v>
      </c>
    </row>
    <row r="4" spans="1:21" x14ac:dyDescent="0.25">
      <c r="F4" t="s">
        <v>429</v>
      </c>
      <c r="G4" t="s">
        <v>431</v>
      </c>
      <c r="O4" t="s">
        <v>10</v>
      </c>
      <c r="P4" t="s">
        <v>11</v>
      </c>
      <c r="Q4" t="s">
        <v>12</v>
      </c>
      <c r="R4" t="s">
        <v>13</v>
      </c>
      <c r="S4" t="s">
        <v>14</v>
      </c>
      <c r="T4" t="s">
        <v>15</v>
      </c>
      <c r="U4">
        <f t="shared" si="0"/>
        <v>1</v>
      </c>
    </row>
    <row r="5" spans="1:21" x14ac:dyDescent="0.25">
      <c r="F5" t="s">
        <v>432</v>
      </c>
      <c r="G5" t="s">
        <v>433</v>
      </c>
      <c r="O5" t="s">
        <v>16</v>
      </c>
      <c r="P5" t="s">
        <v>17</v>
      </c>
      <c r="Q5" t="s">
        <v>18</v>
      </c>
      <c r="R5" t="s">
        <v>19</v>
      </c>
      <c r="S5" t="s">
        <v>20</v>
      </c>
      <c r="T5" t="s">
        <v>21</v>
      </c>
      <c r="U5">
        <f t="shared" si="0"/>
        <v>1</v>
      </c>
    </row>
    <row r="6" spans="1:21" x14ac:dyDescent="0.25">
      <c r="F6" s="2" t="s">
        <v>434</v>
      </c>
      <c r="G6" s="3" t="s">
        <v>436</v>
      </c>
      <c r="O6" t="s">
        <v>22</v>
      </c>
      <c r="P6" t="s">
        <v>23</v>
      </c>
      <c r="Q6" t="s">
        <v>24</v>
      </c>
      <c r="R6" t="s">
        <v>25</v>
      </c>
      <c r="S6" t="s">
        <v>26</v>
      </c>
      <c r="T6" t="s">
        <v>27</v>
      </c>
      <c r="U6">
        <f t="shared" si="0"/>
        <v>1</v>
      </c>
    </row>
    <row r="7" spans="1:21" x14ac:dyDescent="0.25">
      <c r="F7" t="s">
        <v>435</v>
      </c>
      <c r="G7" t="s">
        <v>445</v>
      </c>
      <c r="O7" t="s">
        <v>28</v>
      </c>
      <c r="P7" t="s">
        <v>29</v>
      </c>
      <c r="Q7" t="s">
        <v>30</v>
      </c>
      <c r="R7" t="s">
        <v>31</v>
      </c>
      <c r="S7" t="s">
        <v>32</v>
      </c>
      <c r="T7" t="s">
        <v>33</v>
      </c>
      <c r="U7">
        <f t="shared" si="0"/>
        <v>1</v>
      </c>
    </row>
    <row r="8" spans="1:21" x14ac:dyDescent="0.25">
      <c r="F8" t="s">
        <v>446</v>
      </c>
      <c r="G8" t="str">
        <f ca="1">("File name will be: ") &amp; TEXT(NOW(), "yyyy.mm.dd.hhMMss") &amp; (".xlsx")</f>
        <v>File name will be: 2021.03.26.001314.xlsx</v>
      </c>
      <c r="O8" t="s">
        <v>34</v>
      </c>
      <c r="P8" t="s">
        <v>35</v>
      </c>
      <c r="Q8" t="s">
        <v>36</v>
      </c>
      <c r="R8" t="s">
        <v>37</v>
      </c>
      <c r="S8" t="s">
        <v>38</v>
      </c>
      <c r="T8" t="s">
        <v>39</v>
      </c>
      <c r="U8">
        <f t="shared" si="0"/>
        <v>1</v>
      </c>
    </row>
    <row r="9" spans="1:21" x14ac:dyDescent="0.25">
      <c r="G9" s="4" t="str">
        <f ca="1">TEXT(NOW(), "yyyy.mm.dd.hhMMss") &amp; (".xlsx")</f>
        <v>2021.03.26.001314.xlsx</v>
      </c>
      <c r="O9" t="s">
        <v>40</v>
      </c>
      <c r="P9" t="s">
        <v>41</v>
      </c>
      <c r="Q9" t="s">
        <v>42</v>
      </c>
      <c r="R9" t="s">
        <v>43</v>
      </c>
      <c r="S9" t="s">
        <v>44</v>
      </c>
      <c r="T9" t="s">
        <v>45</v>
      </c>
      <c r="U9">
        <f t="shared" si="0"/>
        <v>1</v>
      </c>
    </row>
    <row r="10" spans="1:21" x14ac:dyDescent="0.25">
      <c r="O10" t="s">
        <v>46</v>
      </c>
      <c r="P10" t="s">
        <v>47</v>
      </c>
      <c r="Q10" t="s">
        <v>48</v>
      </c>
      <c r="R10" t="s">
        <v>49</v>
      </c>
      <c r="S10" t="s">
        <v>50</v>
      </c>
      <c r="T10" t="s">
        <v>51</v>
      </c>
      <c r="U10">
        <f t="shared" si="0"/>
        <v>1</v>
      </c>
    </row>
    <row r="11" spans="1:21" x14ac:dyDescent="0.25">
      <c r="O11" t="s">
        <v>52</v>
      </c>
      <c r="P11" t="s">
        <v>53</v>
      </c>
      <c r="Q11" t="s">
        <v>54</v>
      </c>
      <c r="R11" t="s">
        <v>55</v>
      </c>
      <c r="S11" t="s">
        <v>56</v>
      </c>
      <c r="T11" t="s">
        <v>57</v>
      </c>
      <c r="U11">
        <f t="shared" si="0"/>
        <v>1</v>
      </c>
    </row>
    <row r="12" spans="1:21" x14ac:dyDescent="0.25">
      <c r="O12" t="s">
        <v>58</v>
      </c>
      <c r="P12" t="s">
        <v>59</v>
      </c>
      <c r="Q12" t="s">
        <v>60</v>
      </c>
      <c r="R12" t="s">
        <v>61</v>
      </c>
      <c r="S12" t="s">
        <v>62</v>
      </c>
      <c r="T12" t="s">
        <v>63</v>
      </c>
      <c r="U12">
        <f t="shared" si="0"/>
        <v>1</v>
      </c>
    </row>
    <row r="13" spans="1:21" x14ac:dyDescent="0.25">
      <c r="O13" t="s">
        <v>64</v>
      </c>
      <c r="P13" t="s">
        <v>65</v>
      </c>
      <c r="Q13" t="s">
        <v>66</v>
      </c>
      <c r="R13" t="s">
        <v>67</v>
      </c>
      <c r="S13" t="s">
        <v>68</v>
      </c>
      <c r="T13" t="s">
        <v>69</v>
      </c>
      <c r="U13">
        <f t="shared" si="0"/>
        <v>1</v>
      </c>
    </row>
    <row r="14" spans="1:21" x14ac:dyDescent="0.25">
      <c r="O14" t="s">
        <v>70</v>
      </c>
      <c r="P14" t="s">
        <v>71</v>
      </c>
      <c r="Q14" t="s">
        <v>72</v>
      </c>
      <c r="R14" t="s">
        <v>73</v>
      </c>
      <c r="S14" t="s">
        <v>74</v>
      </c>
      <c r="T14" t="s">
        <v>75</v>
      </c>
      <c r="U14">
        <f t="shared" si="0"/>
        <v>1</v>
      </c>
    </row>
    <row r="15" spans="1:21" x14ac:dyDescent="0.25">
      <c r="O15" t="s">
        <v>439</v>
      </c>
      <c r="P15" t="s">
        <v>76</v>
      </c>
      <c r="Q15" t="s">
        <v>77</v>
      </c>
      <c r="R15" t="s">
        <v>78</v>
      </c>
      <c r="S15" t="s">
        <v>79</v>
      </c>
      <c r="T15" t="s">
        <v>80</v>
      </c>
      <c r="U15">
        <f t="shared" si="0"/>
        <v>1</v>
      </c>
    </row>
    <row r="16" spans="1:21" x14ac:dyDescent="0.25">
      <c r="O16" t="s">
        <v>81</v>
      </c>
      <c r="P16" t="s">
        <v>82</v>
      </c>
      <c r="Q16" t="s">
        <v>83</v>
      </c>
      <c r="R16" t="s">
        <v>84</v>
      </c>
      <c r="S16" t="s">
        <v>85</v>
      </c>
      <c r="T16" t="s">
        <v>86</v>
      </c>
      <c r="U16">
        <f t="shared" si="0"/>
        <v>1</v>
      </c>
    </row>
    <row r="17" spans="15:21" x14ac:dyDescent="0.25">
      <c r="O17" t="s">
        <v>87</v>
      </c>
      <c r="P17" t="s">
        <v>88</v>
      </c>
      <c r="Q17" t="s">
        <v>89</v>
      </c>
      <c r="R17" t="s">
        <v>90</v>
      </c>
      <c r="S17" t="s">
        <v>91</v>
      </c>
      <c r="T17" t="s">
        <v>92</v>
      </c>
      <c r="U17">
        <f t="shared" si="0"/>
        <v>1</v>
      </c>
    </row>
    <row r="18" spans="15:21" x14ac:dyDescent="0.25">
      <c r="O18" t="s">
        <v>93</v>
      </c>
      <c r="P18" t="s">
        <v>94</v>
      </c>
      <c r="Q18" t="s">
        <v>95</v>
      </c>
      <c r="R18" t="s">
        <v>96</v>
      </c>
      <c r="S18" t="s">
        <v>97</v>
      </c>
      <c r="T18" t="s">
        <v>98</v>
      </c>
      <c r="U18">
        <f t="shared" si="0"/>
        <v>1</v>
      </c>
    </row>
    <row r="19" spans="15:21" x14ac:dyDescent="0.25">
      <c r="O19" t="s">
        <v>99</v>
      </c>
      <c r="P19" t="s">
        <v>100</v>
      </c>
      <c r="Q19" t="s">
        <v>101</v>
      </c>
      <c r="R19" t="s">
        <v>102</v>
      </c>
      <c r="S19" t="s">
        <v>103</v>
      </c>
      <c r="T19" t="s">
        <v>104</v>
      </c>
      <c r="U19">
        <f t="shared" si="0"/>
        <v>1</v>
      </c>
    </row>
    <row r="20" spans="15:21" x14ac:dyDescent="0.25">
      <c r="O20" t="s">
        <v>105</v>
      </c>
      <c r="P20" t="s">
        <v>106</v>
      </c>
      <c r="Q20" t="s">
        <v>107</v>
      </c>
      <c r="R20" t="s">
        <v>108</v>
      </c>
      <c r="S20" t="s">
        <v>109</v>
      </c>
      <c r="T20" t="s">
        <v>110</v>
      </c>
      <c r="U20">
        <f t="shared" si="0"/>
        <v>1</v>
      </c>
    </row>
    <row r="21" spans="15:21" x14ac:dyDescent="0.25">
      <c r="O21" t="s">
        <v>111</v>
      </c>
      <c r="P21" t="s">
        <v>112</v>
      </c>
      <c r="Q21" t="s">
        <v>113</v>
      </c>
      <c r="R21" t="s">
        <v>114</v>
      </c>
      <c r="S21" t="s">
        <v>115</v>
      </c>
      <c r="T21" t="s">
        <v>116</v>
      </c>
      <c r="U21">
        <f t="shared" si="0"/>
        <v>1</v>
      </c>
    </row>
    <row r="22" spans="15:21" x14ac:dyDescent="0.25">
      <c r="O22" t="s">
        <v>117</v>
      </c>
      <c r="P22" t="s">
        <v>118</v>
      </c>
      <c r="Q22" t="s">
        <v>119</v>
      </c>
      <c r="R22" t="s">
        <v>120</v>
      </c>
      <c r="S22" t="s">
        <v>121</v>
      </c>
      <c r="T22" t="s">
        <v>122</v>
      </c>
      <c r="U22">
        <f t="shared" si="0"/>
        <v>1</v>
      </c>
    </row>
    <row r="23" spans="15:21" x14ac:dyDescent="0.25">
      <c r="O23" t="s">
        <v>123</v>
      </c>
      <c r="P23" t="s">
        <v>124</v>
      </c>
      <c r="Q23" t="s">
        <v>125</v>
      </c>
      <c r="R23" t="s">
        <v>126</v>
      </c>
      <c r="S23" t="s">
        <v>127</v>
      </c>
      <c r="T23" t="s">
        <v>128</v>
      </c>
      <c r="U23">
        <f t="shared" si="0"/>
        <v>1</v>
      </c>
    </row>
    <row r="24" spans="15:21" x14ac:dyDescent="0.25">
      <c r="O24" t="s">
        <v>129</v>
      </c>
      <c r="P24" t="s">
        <v>130</v>
      </c>
      <c r="Q24" t="s">
        <v>131</v>
      </c>
      <c r="R24" t="s">
        <v>132</v>
      </c>
      <c r="S24" t="s">
        <v>133</v>
      </c>
      <c r="T24" t="s">
        <v>134</v>
      </c>
      <c r="U24">
        <f t="shared" si="0"/>
        <v>1</v>
      </c>
    </row>
    <row r="25" spans="15:21" x14ac:dyDescent="0.25">
      <c r="O25" t="s">
        <v>135</v>
      </c>
      <c r="P25" t="s">
        <v>136</v>
      </c>
      <c r="Q25" t="s">
        <v>137</v>
      </c>
      <c r="R25" t="s">
        <v>138</v>
      </c>
      <c r="S25" t="s">
        <v>139</v>
      </c>
      <c r="T25" t="s">
        <v>140</v>
      </c>
      <c r="U25">
        <f t="shared" si="0"/>
        <v>1</v>
      </c>
    </row>
    <row r="26" spans="15:21" x14ac:dyDescent="0.25">
      <c r="O26" t="s">
        <v>141</v>
      </c>
      <c r="P26" t="s">
        <v>142</v>
      </c>
      <c r="Q26" t="s">
        <v>143</v>
      </c>
      <c r="R26" t="s">
        <v>144</v>
      </c>
      <c r="S26" t="s">
        <v>145</v>
      </c>
      <c r="T26" t="s">
        <v>146</v>
      </c>
      <c r="U26">
        <f t="shared" si="0"/>
        <v>1</v>
      </c>
    </row>
    <row r="27" spans="15:21" x14ac:dyDescent="0.25">
      <c r="O27" t="s">
        <v>147</v>
      </c>
      <c r="P27" t="s">
        <v>148</v>
      </c>
      <c r="Q27" t="s">
        <v>149</v>
      </c>
      <c r="R27" t="s">
        <v>150</v>
      </c>
      <c r="S27" t="s">
        <v>151</v>
      </c>
      <c r="T27" t="s">
        <v>152</v>
      </c>
      <c r="U27">
        <f t="shared" si="0"/>
        <v>1</v>
      </c>
    </row>
    <row r="28" spans="15:21" x14ac:dyDescent="0.25">
      <c r="O28" t="s">
        <v>153</v>
      </c>
      <c r="P28" t="s">
        <v>154</v>
      </c>
      <c r="Q28" t="s">
        <v>155</v>
      </c>
      <c r="R28" t="s">
        <v>156</v>
      </c>
      <c r="S28" t="s">
        <v>157</v>
      </c>
      <c r="T28" t="s">
        <v>158</v>
      </c>
      <c r="U28">
        <f t="shared" si="0"/>
        <v>1</v>
      </c>
    </row>
    <row r="29" spans="15:21" x14ac:dyDescent="0.25">
      <c r="O29" t="s">
        <v>159</v>
      </c>
      <c r="P29" t="s">
        <v>160</v>
      </c>
      <c r="Q29" t="s">
        <v>161</v>
      </c>
      <c r="R29" t="s">
        <v>162</v>
      </c>
      <c r="S29" t="s">
        <v>163</v>
      </c>
      <c r="T29" t="s">
        <v>164</v>
      </c>
      <c r="U29">
        <f t="shared" si="0"/>
        <v>1</v>
      </c>
    </row>
    <row r="30" spans="15:21" x14ac:dyDescent="0.25">
      <c r="O30" t="s">
        <v>165</v>
      </c>
      <c r="P30" t="s">
        <v>166</v>
      </c>
      <c r="Q30" t="s">
        <v>167</v>
      </c>
      <c r="R30" t="s">
        <v>168</v>
      </c>
      <c r="S30" t="s">
        <v>169</v>
      </c>
      <c r="T30" t="s">
        <v>170</v>
      </c>
      <c r="U30">
        <f t="shared" si="0"/>
        <v>1</v>
      </c>
    </row>
    <row r="31" spans="15:21" x14ac:dyDescent="0.25">
      <c r="O31" t="s">
        <v>171</v>
      </c>
      <c r="P31" t="s">
        <v>172</v>
      </c>
      <c r="Q31" t="s">
        <v>173</v>
      </c>
      <c r="R31" t="s">
        <v>174</v>
      </c>
      <c r="S31" t="s">
        <v>175</v>
      </c>
      <c r="T31" t="s">
        <v>176</v>
      </c>
      <c r="U31">
        <f t="shared" si="0"/>
        <v>1</v>
      </c>
    </row>
    <row r="32" spans="15:21" x14ac:dyDescent="0.25">
      <c r="O32" t="s">
        <v>177</v>
      </c>
      <c r="P32" t="s">
        <v>178</v>
      </c>
      <c r="Q32" t="s">
        <v>179</v>
      </c>
      <c r="R32" t="s">
        <v>180</v>
      </c>
      <c r="S32" t="s">
        <v>181</v>
      </c>
      <c r="T32" t="s">
        <v>182</v>
      </c>
      <c r="U32">
        <f t="shared" si="0"/>
        <v>1</v>
      </c>
    </row>
    <row r="33" spans="15:21" x14ac:dyDescent="0.25">
      <c r="O33" t="s">
        <v>81</v>
      </c>
      <c r="P33" t="s">
        <v>82</v>
      </c>
      <c r="Q33" t="s">
        <v>183</v>
      </c>
      <c r="R33" t="s">
        <v>84</v>
      </c>
      <c r="S33" t="s">
        <v>184</v>
      </c>
      <c r="T33" t="s">
        <v>86</v>
      </c>
      <c r="U33">
        <f t="shared" si="0"/>
        <v>1</v>
      </c>
    </row>
    <row r="34" spans="15:21" x14ac:dyDescent="0.25">
      <c r="O34" t="s">
        <v>440</v>
      </c>
      <c r="P34" t="s">
        <v>100</v>
      </c>
      <c r="Q34" t="s">
        <v>185</v>
      </c>
      <c r="R34" t="s">
        <v>102</v>
      </c>
      <c r="S34" t="s">
        <v>186</v>
      </c>
      <c r="T34" t="s">
        <v>104</v>
      </c>
      <c r="U34">
        <f t="shared" si="0"/>
        <v>1</v>
      </c>
    </row>
    <row r="35" spans="15:21" x14ac:dyDescent="0.25">
      <c r="O35" t="s">
        <v>441</v>
      </c>
      <c r="P35" t="s">
        <v>41</v>
      </c>
      <c r="Q35" t="s">
        <v>187</v>
      </c>
      <c r="R35" t="s">
        <v>43</v>
      </c>
      <c r="S35" t="s">
        <v>188</v>
      </c>
      <c r="T35" t="s">
        <v>45</v>
      </c>
      <c r="U35">
        <f t="shared" si="0"/>
        <v>1</v>
      </c>
    </row>
    <row r="36" spans="15:21" x14ac:dyDescent="0.25">
      <c r="O36" t="s">
        <v>189</v>
      </c>
      <c r="P36" t="s">
        <v>190</v>
      </c>
      <c r="Q36" t="s">
        <v>191</v>
      </c>
      <c r="R36" t="s">
        <v>192</v>
      </c>
      <c r="S36" t="s">
        <v>193</v>
      </c>
      <c r="T36" t="s">
        <v>194</v>
      </c>
      <c r="U36">
        <f t="shared" si="0"/>
        <v>1</v>
      </c>
    </row>
    <row r="37" spans="15:21" x14ac:dyDescent="0.25">
      <c r="O37" t="s">
        <v>195</v>
      </c>
      <c r="P37" t="s">
        <v>196</v>
      </c>
      <c r="Q37" t="s">
        <v>197</v>
      </c>
      <c r="R37" t="s">
        <v>198</v>
      </c>
      <c r="S37" t="s">
        <v>199</v>
      </c>
      <c r="T37" t="s">
        <v>200</v>
      </c>
      <c r="U37">
        <f t="shared" si="0"/>
        <v>1</v>
      </c>
    </row>
    <row r="38" spans="15:21" x14ac:dyDescent="0.25">
      <c r="O38" t="s">
        <v>201</v>
      </c>
      <c r="P38" t="s">
        <v>202</v>
      </c>
      <c r="Q38" t="s">
        <v>203</v>
      </c>
      <c r="R38" t="s">
        <v>204</v>
      </c>
      <c r="S38" t="s">
        <v>205</v>
      </c>
      <c r="T38" t="s">
        <v>206</v>
      </c>
      <c r="U38">
        <f t="shared" si="0"/>
        <v>1</v>
      </c>
    </row>
    <row r="39" spans="15:21" x14ac:dyDescent="0.25">
      <c r="O39" t="s">
        <v>207</v>
      </c>
      <c r="P39" t="s">
        <v>208</v>
      </c>
      <c r="Q39" t="s">
        <v>209</v>
      </c>
      <c r="R39" t="s">
        <v>210</v>
      </c>
      <c r="S39" t="s">
        <v>211</v>
      </c>
      <c r="T39" t="s">
        <v>212</v>
      </c>
      <c r="U39">
        <f t="shared" si="0"/>
        <v>1</v>
      </c>
    </row>
    <row r="40" spans="15:21" x14ac:dyDescent="0.25">
      <c r="O40" t="s">
        <v>213</v>
      </c>
      <c r="P40" t="s">
        <v>214</v>
      </c>
      <c r="Q40" t="s">
        <v>215</v>
      </c>
      <c r="R40" t="s">
        <v>216</v>
      </c>
      <c r="S40" t="s">
        <v>217</v>
      </c>
      <c r="T40" t="s">
        <v>218</v>
      </c>
      <c r="U40">
        <f t="shared" si="0"/>
        <v>1</v>
      </c>
    </row>
    <row r="41" spans="15:21" x14ac:dyDescent="0.25">
      <c r="O41" t="s">
        <v>219</v>
      </c>
      <c r="P41" t="s">
        <v>220</v>
      </c>
      <c r="Q41" t="s">
        <v>221</v>
      </c>
      <c r="R41" t="s">
        <v>222</v>
      </c>
      <c r="S41" t="s">
        <v>223</v>
      </c>
      <c r="T41" t="s">
        <v>224</v>
      </c>
      <c r="U41">
        <f t="shared" si="0"/>
        <v>1</v>
      </c>
    </row>
    <row r="42" spans="15:21" x14ac:dyDescent="0.25">
      <c r="O42" t="s">
        <v>225</v>
      </c>
      <c r="P42" t="s">
        <v>226</v>
      </c>
      <c r="Q42" t="s">
        <v>227</v>
      </c>
      <c r="R42" t="s">
        <v>228</v>
      </c>
      <c r="S42" t="s">
        <v>229</v>
      </c>
      <c r="T42" t="s">
        <v>230</v>
      </c>
      <c r="U42">
        <f t="shared" si="0"/>
        <v>1</v>
      </c>
    </row>
    <row r="43" spans="15:21" x14ac:dyDescent="0.25">
      <c r="O43" t="s">
        <v>231</v>
      </c>
      <c r="P43" t="s">
        <v>232</v>
      </c>
      <c r="Q43" t="s">
        <v>233</v>
      </c>
      <c r="R43" t="s">
        <v>234</v>
      </c>
      <c r="S43" t="s">
        <v>235</v>
      </c>
      <c r="T43" t="s">
        <v>236</v>
      </c>
      <c r="U43">
        <f t="shared" si="0"/>
        <v>1</v>
      </c>
    </row>
    <row r="44" spans="15:21" x14ac:dyDescent="0.25">
      <c r="O44" t="s">
        <v>99</v>
      </c>
      <c r="P44" t="s">
        <v>100</v>
      </c>
      <c r="Q44" t="s">
        <v>237</v>
      </c>
      <c r="R44" t="s">
        <v>102</v>
      </c>
      <c r="S44" t="s">
        <v>238</v>
      </c>
      <c r="T44" t="s">
        <v>104</v>
      </c>
      <c r="U44">
        <f t="shared" si="0"/>
        <v>1</v>
      </c>
    </row>
    <row r="45" spans="15:21" x14ac:dyDescent="0.25">
      <c r="O45" t="s">
        <v>34</v>
      </c>
      <c r="P45" t="s">
        <v>35</v>
      </c>
      <c r="Q45" t="s">
        <v>239</v>
      </c>
      <c r="R45" t="s">
        <v>37</v>
      </c>
      <c r="S45" t="s">
        <v>240</v>
      </c>
      <c r="T45" t="s">
        <v>39</v>
      </c>
      <c r="U45">
        <f t="shared" si="0"/>
        <v>1</v>
      </c>
    </row>
    <row r="46" spans="15:21" x14ac:dyDescent="0.25">
      <c r="O46" t="s">
        <v>111</v>
      </c>
      <c r="P46" t="s">
        <v>112</v>
      </c>
      <c r="Q46" t="s">
        <v>241</v>
      </c>
      <c r="R46" t="s">
        <v>114</v>
      </c>
      <c r="S46" t="s">
        <v>242</v>
      </c>
      <c r="T46" t="s">
        <v>116</v>
      </c>
      <c r="U46">
        <f t="shared" si="0"/>
        <v>1</v>
      </c>
    </row>
    <row r="47" spans="15:21" x14ac:dyDescent="0.25">
      <c r="O47" t="s">
        <v>243</v>
      </c>
      <c r="P47" t="s">
        <v>244</v>
      </c>
      <c r="Q47" t="s">
        <v>245</v>
      </c>
      <c r="R47" t="s">
        <v>246</v>
      </c>
      <c r="S47" t="s">
        <v>247</v>
      </c>
      <c r="T47" t="s">
        <v>248</v>
      </c>
      <c r="U47">
        <f t="shared" si="0"/>
        <v>1</v>
      </c>
    </row>
    <row r="48" spans="15:21" x14ac:dyDescent="0.25">
      <c r="O48" t="s">
        <v>249</v>
      </c>
      <c r="P48" t="s">
        <v>250</v>
      </c>
      <c r="Q48" t="s">
        <v>251</v>
      </c>
      <c r="R48" t="s">
        <v>252</v>
      </c>
      <c r="S48" t="s">
        <v>253</v>
      </c>
      <c r="T48" t="s">
        <v>254</v>
      </c>
      <c r="U48">
        <f t="shared" si="0"/>
        <v>1</v>
      </c>
    </row>
    <row r="49" spans="15:21" x14ac:dyDescent="0.25">
      <c r="O49" t="s">
        <v>255</v>
      </c>
      <c r="P49" t="s">
        <v>256</v>
      </c>
      <c r="Q49" t="s">
        <v>257</v>
      </c>
      <c r="R49" t="s">
        <v>258</v>
      </c>
      <c r="S49" t="s">
        <v>259</v>
      </c>
      <c r="T49" t="s">
        <v>260</v>
      </c>
      <c r="U49">
        <f t="shared" si="0"/>
        <v>1</v>
      </c>
    </row>
    <row r="50" spans="15:21" x14ac:dyDescent="0.25">
      <c r="O50" t="s">
        <v>261</v>
      </c>
      <c r="P50" t="s">
        <v>262</v>
      </c>
      <c r="Q50" t="s">
        <v>263</v>
      </c>
      <c r="R50" t="s">
        <v>264</v>
      </c>
      <c r="S50" t="s">
        <v>265</v>
      </c>
      <c r="T50" t="s">
        <v>266</v>
      </c>
      <c r="U50">
        <f t="shared" si="0"/>
        <v>1</v>
      </c>
    </row>
    <row r="51" spans="15:21" x14ac:dyDescent="0.25">
      <c r="O51" t="s">
        <v>135</v>
      </c>
      <c r="P51" t="s">
        <v>136</v>
      </c>
      <c r="Q51" t="s">
        <v>267</v>
      </c>
      <c r="R51" t="s">
        <v>138</v>
      </c>
      <c r="S51" t="s">
        <v>268</v>
      </c>
      <c r="T51" t="s">
        <v>140</v>
      </c>
      <c r="U51">
        <f t="shared" si="0"/>
        <v>1</v>
      </c>
    </row>
    <row r="52" spans="15:21" x14ac:dyDescent="0.25">
      <c r="O52" t="s">
        <v>269</v>
      </c>
      <c r="P52" t="s">
        <v>270</v>
      </c>
      <c r="Q52" t="s">
        <v>271</v>
      </c>
      <c r="R52" t="s">
        <v>272</v>
      </c>
      <c r="S52" t="s">
        <v>273</v>
      </c>
      <c r="T52" t="s">
        <v>274</v>
      </c>
      <c r="U52">
        <f t="shared" si="0"/>
        <v>1</v>
      </c>
    </row>
    <row r="53" spans="15:21" x14ac:dyDescent="0.25">
      <c r="O53" t="s">
        <v>135</v>
      </c>
      <c r="P53" t="s">
        <v>136</v>
      </c>
      <c r="Q53" t="s">
        <v>275</v>
      </c>
      <c r="R53" t="s">
        <v>138</v>
      </c>
      <c r="S53" t="s">
        <v>276</v>
      </c>
      <c r="T53" t="s">
        <v>140</v>
      </c>
      <c r="U53">
        <f t="shared" si="0"/>
        <v>2</v>
      </c>
    </row>
    <row r="54" spans="15:21" x14ac:dyDescent="0.25">
      <c r="O54" t="s">
        <v>277</v>
      </c>
      <c r="P54" t="s">
        <v>278</v>
      </c>
      <c r="Q54" t="s">
        <v>279</v>
      </c>
      <c r="R54" t="s">
        <v>280</v>
      </c>
      <c r="S54" t="s">
        <v>281</v>
      </c>
      <c r="T54" t="s">
        <v>282</v>
      </c>
      <c r="U54">
        <f t="shared" si="0"/>
        <v>2</v>
      </c>
    </row>
    <row r="55" spans="15:21" x14ac:dyDescent="0.25">
      <c r="O55" t="s">
        <v>283</v>
      </c>
      <c r="P55" t="s">
        <v>284</v>
      </c>
      <c r="Q55" t="s">
        <v>285</v>
      </c>
      <c r="R55" t="s">
        <v>286</v>
      </c>
      <c r="S55" t="s">
        <v>287</v>
      </c>
      <c r="T55" t="s">
        <v>288</v>
      </c>
      <c r="U55">
        <f t="shared" si="0"/>
        <v>2</v>
      </c>
    </row>
    <row r="56" spans="15:21" x14ac:dyDescent="0.25">
      <c r="O56" t="s">
        <v>289</v>
      </c>
      <c r="P56" t="s">
        <v>290</v>
      </c>
      <c r="Q56" t="s">
        <v>291</v>
      </c>
      <c r="R56" t="s">
        <v>292</v>
      </c>
      <c r="S56" t="s">
        <v>293</v>
      </c>
      <c r="T56" t="s">
        <v>294</v>
      </c>
      <c r="U56">
        <f t="shared" si="0"/>
        <v>2</v>
      </c>
    </row>
    <row r="57" spans="15:21" x14ac:dyDescent="0.25">
      <c r="O57" t="s">
        <v>295</v>
      </c>
      <c r="P57" t="s">
        <v>296</v>
      </c>
      <c r="Q57" t="s">
        <v>297</v>
      </c>
      <c r="R57" t="s">
        <v>298</v>
      </c>
      <c r="S57" t="s">
        <v>299</v>
      </c>
      <c r="T57" t="s">
        <v>300</v>
      </c>
      <c r="U57">
        <f t="shared" si="0"/>
        <v>2</v>
      </c>
    </row>
    <row r="58" spans="15:21" x14ac:dyDescent="0.25">
      <c r="O58" t="s">
        <v>261</v>
      </c>
      <c r="P58" t="s">
        <v>262</v>
      </c>
      <c r="Q58" t="s">
        <v>301</v>
      </c>
      <c r="R58" t="s">
        <v>264</v>
      </c>
      <c r="S58" t="s">
        <v>302</v>
      </c>
      <c r="T58" t="s">
        <v>303</v>
      </c>
      <c r="U58">
        <f t="shared" si="0"/>
        <v>2</v>
      </c>
    </row>
    <row r="59" spans="15:21" x14ac:dyDescent="0.25">
      <c r="O59" t="s">
        <v>81</v>
      </c>
      <c r="P59" t="s">
        <v>82</v>
      </c>
      <c r="Q59" t="s">
        <v>304</v>
      </c>
      <c r="R59" t="s">
        <v>84</v>
      </c>
      <c r="S59" t="s">
        <v>305</v>
      </c>
      <c r="T59" t="s">
        <v>306</v>
      </c>
      <c r="U59">
        <f t="shared" si="0"/>
        <v>2</v>
      </c>
    </row>
    <row r="60" spans="15:21" x14ac:dyDescent="0.25">
      <c r="O60" t="s">
        <v>307</v>
      </c>
      <c r="P60" t="s">
        <v>308</v>
      </c>
      <c r="Q60" t="s">
        <v>309</v>
      </c>
      <c r="R60" t="s">
        <v>310</v>
      </c>
      <c r="S60" t="s">
        <v>311</v>
      </c>
      <c r="T60" t="s">
        <v>312</v>
      </c>
      <c r="U60">
        <f t="shared" si="0"/>
        <v>2</v>
      </c>
    </row>
    <row r="61" spans="15:21" x14ac:dyDescent="0.25">
      <c r="O61" t="s">
        <v>313</v>
      </c>
      <c r="P61" t="s">
        <v>314</v>
      </c>
      <c r="Q61" t="s">
        <v>315</v>
      </c>
      <c r="R61" t="s">
        <v>316</v>
      </c>
      <c r="S61" t="s">
        <v>317</v>
      </c>
      <c r="T61" t="s">
        <v>318</v>
      </c>
      <c r="U61">
        <f t="shared" si="0"/>
        <v>2</v>
      </c>
    </row>
    <row r="62" spans="15:21" x14ac:dyDescent="0.25">
      <c r="O62" t="s">
        <v>319</v>
      </c>
      <c r="P62" t="s">
        <v>320</v>
      </c>
      <c r="Q62" t="s">
        <v>321</v>
      </c>
      <c r="R62" t="s">
        <v>322</v>
      </c>
      <c r="S62" t="s">
        <v>323</v>
      </c>
      <c r="T62" t="s">
        <v>324</v>
      </c>
      <c r="U62">
        <f t="shared" si="0"/>
        <v>2</v>
      </c>
    </row>
    <row r="63" spans="15:21" x14ac:dyDescent="0.25">
      <c r="O63" t="s">
        <v>325</v>
      </c>
      <c r="P63" t="s">
        <v>326</v>
      </c>
      <c r="Q63" t="s">
        <v>327</v>
      </c>
      <c r="R63" t="s">
        <v>328</v>
      </c>
      <c r="S63" t="s">
        <v>329</v>
      </c>
      <c r="T63" t="s">
        <v>330</v>
      </c>
      <c r="U63">
        <f t="shared" si="0"/>
        <v>2</v>
      </c>
    </row>
    <row r="64" spans="15:21" x14ac:dyDescent="0.25">
      <c r="O64" t="s">
        <v>135</v>
      </c>
      <c r="P64" t="s">
        <v>136</v>
      </c>
      <c r="Q64" t="s">
        <v>331</v>
      </c>
      <c r="R64" t="s">
        <v>138</v>
      </c>
      <c r="S64" t="s">
        <v>332</v>
      </c>
      <c r="T64" t="s">
        <v>333</v>
      </c>
      <c r="U64">
        <f t="shared" si="0"/>
        <v>2</v>
      </c>
    </row>
    <row r="65" spans="15:21" x14ac:dyDescent="0.25">
      <c r="O65" t="s">
        <v>334</v>
      </c>
      <c r="P65" t="s">
        <v>335</v>
      </c>
      <c r="Q65" t="s">
        <v>336</v>
      </c>
      <c r="R65" t="s">
        <v>337</v>
      </c>
      <c r="S65" t="s">
        <v>338</v>
      </c>
      <c r="T65" t="s">
        <v>339</v>
      </c>
      <c r="U65">
        <f t="shared" si="0"/>
        <v>2</v>
      </c>
    </row>
    <row r="66" spans="15:21" x14ac:dyDescent="0.25">
      <c r="O66" t="s">
        <v>442</v>
      </c>
      <c r="P66" t="s">
        <v>340</v>
      </c>
      <c r="Q66" t="s">
        <v>341</v>
      </c>
      <c r="R66" t="s">
        <v>342</v>
      </c>
      <c r="S66" t="s">
        <v>343</v>
      </c>
      <c r="T66" t="s">
        <v>344</v>
      </c>
      <c r="U66">
        <f t="shared" si="0"/>
        <v>1</v>
      </c>
    </row>
    <row r="67" spans="15:21" x14ac:dyDescent="0.25">
      <c r="O67" t="s">
        <v>443</v>
      </c>
      <c r="P67" t="s">
        <v>345</v>
      </c>
      <c r="Q67" t="s">
        <v>346</v>
      </c>
      <c r="R67" t="s">
        <v>347</v>
      </c>
      <c r="S67" t="s">
        <v>348</v>
      </c>
      <c r="T67" t="s">
        <v>349</v>
      </c>
      <c r="U67">
        <f t="shared" ref="U67:U98" si="1">COUNTIFS($O$2:$O$98, O67, $P$2:$P$98, P67, $Q$2:$Q$98, Q67, $R$2:$R$98, R67, $S$2:$S$98, S67, $T$2:$T$98, T67)</f>
        <v>1</v>
      </c>
    </row>
    <row r="68" spans="15:21" x14ac:dyDescent="0.25">
      <c r="O68" t="s">
        <v>325</v>
      </c>
      <c r="P68" t="s">
        <v>326</v>
      </c>
      <c r="Q68" t="s">
        <v>350</v>
      </c>
      <c r="R68" t="s">
        <v>328</v>
      </c>
      <c r="S68" t="s">
        <v>351</v>
      </c>
      <c r="T68" t="s">
        <v>352</v>
      </c>
      <c r="U68">
        <f t="shared" si="1"/>
        <v>1</v>
      </c>
    </row>
    <row r="69" spans="15:21" x14ac:dyDescent="0.25">
      <c r="O69" t="s">
        <v>353</v>
      </c>
      <c r="P69" t="s">
        <v>354</v>
      </c>
      <c r="Q69" t="s">
        <v>355</v>
      </c>
      <c r="R69" t="s">
        <v>356</v>
      </c>
      <c r="S69" t="s">
        <v>357</v>
      </c>
      <c r="T69" t="s">
        <v>358</v>
      </c>
      <c r="U69">
        <f t="shared" si="1"/>
        <v>1</v>
      </c>
    </row>
    <row r="70" spans="15:21" x14ac:dyDescent="0.25">
      <c r="O70" t="s">
        <v>359</v>
      </c>
      <c r="P70" t="s">
        <v>360</v>
      </c>
      <c r="Q70" t="s">
        <v>361</v>
      </c>
      <c r="R70" t="s">
        <v>362</v>
      </c>
      <c r="S70" t="s">
        <v>363</v>
      </c>
      <c r="T70" t="s">
        <v>364</v>
      </c>
      <c r="U70">
        <f t="shared" si="1"/>
        <v>1</v>
      </c>
    </row>
    <row r="71" spans="15:21" x14ac:dyDescent="0.25">
      <c r="O71" t="s">
        <v>365</v>
      </c>
      <c r="P71" t="s">
        <v>366</v>
      </c>
      <c r="Q71" t="s">
        <v>367</v>
      </c>
      <c r="R71" t="s">
        <v>368</v>
      </c>
      <c r="S71" t="s">
        <v>369</v>
      </c>
      <c r="T71" t="s">
        <v>370</v>
      </c>
      <c r="U71">
        <f t="shared" si="1"/>
        <v>1</v>
      </c>
    </row>
    <row r="72" spans="15:21" x14ac:dyDescent="0.25">
      <c r="O72" t="s">
        <v>135</v>
      </c>
      <c r="P72" t="s">
        <v>136</v>
      </c>
      <c r="Q72" t="s">
        <v>371</v>
      </c>
      <c r="R72" t="s">
        <v>138</v>
      </c>
      <c r="S72" t="s">
        <v>372</v>
      </c>
      <c r="T72" t="s">
        <v>140</v>
      </c>
      <c r="U72">
        <f t="shared" si="1"/>
        <v>1</v>
      </c>
    </row>
    <row r="73" spans="15:21" x14ac:dyDescent="0.25">
      <c r="O73" t="s">
        <v>373</v>
      </c>
      <c r="P73" t="s">
        <v>374</v>
      </c>
      <c r="Q73" t="s">
        <v>375</v>
      </c>
      <c r="R73" t="s">
        <v>376</v>
      </c>
      <c r="S73" t="s">
        <v>377</v>
      </c>
      <c r="T73" t="s">
        <v>378</v>
      </c>
      <c r="U73">
        <f t="shared" si="1"/>
        <v>1</v>
      </c>
    </row>
    <row r="74" spans="15:21" x14ac:dyDescent="0.25">
      <c r="O74" t="s">
        <v>379</v>
      </c>
      <c r="P74" t="s">
        <v>380</v>
      </c>
      <c r="Q74" t="s">
        <v>381</v>
      </c>
      <c r="R74" t="s">
        <v>382</v>
      </c>
      <c r="S74" t="s">
        <v>383</v>
      </c>
      <c r="T74" t="s">
        <v>384</v>
      </c>
      <c r="U74">
        <f t="shared" si="1"/>
        <v>1</v>
      </c>
    </row>
    <row r="75" spans="15:21" x14ac:dyDescent="0.25">
      <c r="O75" t="s">
        <v>385</v>
      </c>
      <c r="P75" t="s">
        <v>386</v>
      </c>
      <c r="Q75" t="s">
        <v>387</v>
      </c>
      <c r="R75" t="s">
        <v>388</v>
      </c>
      <c r="S75" t="s">
        <v>389</v>
      </c>
      <c r="T75" t="s">
        <v>390</v>
      </c>
      <c r="U75">
        <f t="shared" si="1"/>
        <v>1</v>
      </c>
    </row>
    <row r="76" spans="15:21" x14ac:dyDescent="0.25">
      <c r="O76" t="s">
        <v>81</v>
      </c>
      <c r="P76" t="s">
        <v>82</v>
      </c>
      <c r="Q76" t="s">
        <v>391</v>
      </c>
      <c r="R76" t="s">
        <v>84</v>
      </c>
      <c r="S76" t="s">
        <v>392</v>
      </c>
      <c r="T76" t="s">
        <v>86</v>
      </c>
      <c r="U76">
        <f t="shared" si="1"/>
        <v>1</v>
      </c>
    </row>
    <row r="77" spans="15:21" x14ac:dyDescent="0.25">
      <c r="O77" t="s">
        <v>393</v>
      </c>
      <c r="P77" t="s">
        <v>394</v>
      </c>
      <c r="Q77" t="s">
        <v>395</v>
      </c>
      <c r="R77" t="s">
        <v>396</v>
      </c>
      <c r="S77" t="s">
        <v>397</v>
      </c>
      <c r="T77" t="s">
        <v>398</v>
      </c>
      <c r="U77">
        <f t="shared" si="1"/>
        <v>1</v>
      </c>
    </row>
    <row r="78" spans="15:21" x14ac:dyDescent="0.25">
      <c r="O78" t="s">
        <v>99</v>
      </c>
      <c r="P78" t="s">
        <v>100</v>
      </c>
      <c r="Q78" t="s">
        <v>399</v>
      </c>
      <c r="R78" t="s">
        <v>102</v>
      </c>
      <c r="S78" t="s">
        <v>400</v>
      </c>
      <c r="T78" t="s">
        <v>104</v>
      </c>
      <c r="U78">
        <f t="shared" si="1"/>
        <v>1</v>
      </c>
    </row>
    <row r="79" spans="15:21" x14ac:dyDescent="0.25">
      <c r="O79" t="s">
        <v>177</v>
      </c>
      <c r="P79" t="s">
        <v>178</v>
      </c>
      <c r="Q79" t="s">
        <v>401</v>
      </c>
      <c r="R79" t="s">
        <v>180</v>
      </c>
      <c r="S79" t="s">
        <v>402</v>
      </c>
      <c r="T79" t="s">
        <v>182</v>
      </c>
      <c r="U79">
        <f t="shared" si="1"/>
        <v>1</v>
      </c>
    </row>
    <row r="80" spans="15:21" x14ac:dyDescent="0.25">
      <c r="O80" t="s">
        <v>403</v>
      </c>
      <c r="P80" t="s">
        <v>404</v>
      </c>
      <c r="Q80" t="s">
        <v>405</v>
      </c>
      <c r="R80" t="s">
        <v>406</v>
      </c>
      <c r="S80" t="s">
        <v>407</v>
      </c>
      <c r="T80" t="s">
        <v>408</v>
      </c>
      <c r="U80">
        <f t="shared" si="1"/>
        <v>1</v>
      </c>
    </row>
    <row r="81" spans="15:21" x14ac:dyDescent="0.25">
      <c r="O81" t="s">
        <v>117</v>
      </c>
      <c r="P81" t="s">
        <v>118</v>
      </c>
      <c r="Q81" t="s">
        <v>409</v>
      </c>
      <c r="R81" t="s">
        <v>120</v>
      </c>
      <c r="S81" t="s">
        <v>410</v>
      </c>
      <c r="T81" t="s">
        <v>122</v>
      </c>
      <c r="U81">
        <f t="shared" si="1"/>
        <v>1</v>
      </c>
    </row>
    <row r="82" spans="15:21" x14ac:dyDescent="0.25">
      <c r="O82" t="s">
        <v>411</v>
      </c>
      <c r="P82" t="s">
        <v>412</v>
      </c>
      <c r="Q82" t="s">
        <v>413</v>
      </c>
      <c r="R82" t="s">
        <v>414</v>
      </c>
      <c r="S82" t="s">
        <v>415</v>
      </c>
      <c r="T82" t="s">
        <v>416</v>
      </c>
      <c r="U82">
        <f t="shared" si="1"/>
        <v>1</v>
      </c>
    </row>
    <row r="83" spans="15:21" x14ac:dyDescent="0.25">
      <c r="O83" t="s">
        <v>359</v>
      </c>
      <c r="P83" t="s">
        <v>360</v>
      </c>
      <c r="Q83" t="s">
        <v>417</v>
      </c>
      <c r="R83" t="s">
        <v>362</v>
      </c>
      <c r="S83" t="s">
        <v>418</v>
      </c>
      <c r="T83" t="s">
        <v>364</v>
      </c>
      <c r="U83">
        <f t="shared" si="1"/>
        <v>1</v>
      </c>
    </row>
    <row r="84" spans="15:21" x14ac:dyDescent="0.25">
      <c r="O84" t="s">
        <v>365</v>
      </c>
      <c r="P84" t="s">
        <v>366</v>
      </c>
      <c r="Q84" t="s">
        <v>419</v>
      </c>
      <c r="R84" t="s">
        <v>368</v>
      </c>
      <c r="S84" t="s">
        <v>420</v>
      </c>
      <c r="T84" t="s">
        <v>370</v>
      </c>
      <c r="U84">
        <f t="shared" si="1"/>
        <v>1</v>
      </c>
    </row>
    <row r="85" spans="15:21" x14ac:dyDescent="0.25">
      <c r="O85" t="s">
        <v>135</v>
      </c>
      <c r="P85" t="s">
        <v>136</v>
      </c>
      <c r="Q85" t="s">
        <v>275</v>
      </c>
      <c r="R85" t="s">
        <v>138</v>
      </c>
      <c r="S85" t="s">
        <v>276</v>
      </c>
      <c r="T85" t="s">
        <v>140</v>
      </c>
      <c r="U85">
        <f t="shared" si="1"/>
        <v>2</v>
      </c>
    </row>
    <row r="86" spans="15:21" x14ac:dyDescent="0.25">
      <c r="O86" t="s">
        <v>277</v>
      </c>
      <c r="P86" t="s">
        <v>278</v>
      </c>
      <c r="Q86" t="s">
        <v>279</v>
      </c>
      <c r="R86" t="s">
        <v>280</v>
      </c>
      <c r="S86" t="s">
        <v>281</v>
      </c>
      <c r="T86" t="s">
        <v>282</v>
      </c>
      <c r="U86">
        <f t="shared" si="1"/>
        <v>2</v>
      </c>
    </row>
    <row r="87" spans="15:21" x14ac:dyDescent="0.25">
      <c r="O87" t="s">
        <v>283</v>
      </c>
      <c r="P87" t="s">
        <v>284</v>
      </c>
      <c r="Q87" t="s">
        <v>285</v>
      </c>
      <c r="R87" t="s">
        <v>286</v>
      </c>
      <c r="S87" t="s">
        <v>287</v>
      </c>
      <c r="T87" t="s">
        <v>288</v>
      </c>
      <c r="U87">
        <f t="shared" si="1"/>
        <v>2</v>
      </c>
    </row>
    <row r="88" spans="15:21" x14ac:dyDescent="0.25">
      <c r="O88" t="s">
        <v>289</v>
      </c>
      <c r="P88" t="s">
        <v>290</v>
      </c>
      <c r="Q88" t="s">
        <v>291</v>
      </c>
      <c r="R88" t="s">
        <v>292</v>
      </c>
      <c r="S88" t="s">
        <v>293</v>
      </c>
      <c r="T88" t="s">
        <v>294</v>
      </c>
      <c r="U88">
        <f t="shared" si="1"/>
        <v>2</v>
      </c>
    </row>
    <row r="89" spans="15:21" x14ac:dyDescent="0.25">
      <c r="O89" t="s">
        <v>295</v>
      </c>
      <c r="P89" t="s">
        <v>296</v>
      </c>
      <c r="Q89" t="s">
        <v>297</v>
      </c>
      <c r="R89" t="s">
        <v>298</v>
      </c>
      <c r="S89" t="s">
        <v>299</v>
      </c>
      <c r="T89" t="s">
        <v>300</v>
      </c>
      <c r="U89">
        <f t="shared" si="1"/>
        <v>2</v>
      </c>
    </row>
    <row r="90" spans="15:21" x14ac:dyDescent="0.25">
      <c r="O90" t="s">
        <v>261</v>
      </c>
      <c r="P90" t="s">
        <v>262</v>
      </c>
      <c r="Q90" t="s">
        <v>301</v>
      </c>
      <c r="R90" t="s">
        <v>264</v>
      </c>
      <c r="S90" t="s">
        <v>302</v>
      </c>
      <c r="T90" t="s">
        <v>303</v>
      </c>
      <c r="U90">
        <f t="shared" si="1"/>
        <v>2</v>
      </c>
    </row>
    <row r="91" spans="15:21" x14ac:dyDescent="0.25">
      <c r="O91" t="s">
        <v>81</v>
      </c>
      <c r="P91" t="s">
        <v>82</v>
      </c>
      <c r="Q91" t="s">
        <v>304</v>
      </c>
      <c r="R91" t="s">
        <v>84</v>
      </c>
      <c r="S91" t="s">
        <v>305</v>
      </c>
      <c r="T91" t="s">
        <v>306</v>
      </c>
      <c r="U91">
        <f t="shared" si="1"/>
        <v>2</v>
      </c>
    </row>
    <row r="92" spans="15:21" x14ac:dyDescent="0.25">
      <c r="O92" t="s">
        <v>307</v>
      </c>
      <c r="P92" t="s">
        <v>308</v>
      </c>
      <c r="Q92" t="s">
        <v>309</v>
      </c>
      <c r="R92" t="s">
        <v>310</v>
      </c>
      <c r="S92" t="s">
        <v>311</v>
      </c>
      <c r="T92" t="s">
        <v>312</v>
      </c>
      <c r="U92">
        <f t="shared" si="1"/>
        <v>2</v>
      </c>
    </row>
    <row r="93" spans="15:21" x14ac:dyDescent="0.25">
      <c r="O93" t="s">
        <v>313</v>
      </c>
      <c r="P93" t="s">
        <v>314</v>
      </c>
      <c r="Q93" t="s">
        <v>315</v>
      </c>
      <c r="R93" t="s">
        <v>316</v>
      </c>
      <c r="S93" t="s">
        <v>317</v>
      </c>
      <c r="T93" t="s">
        <v>318</v>
      </c>
      <c r="U93">
        <f t="shared" si="1"/>
        <v>2</v>
      </c>
    </row>
    <row r="94" spans="15:21" x14ac:dyDescent="0.25">
      <c r="O94" t="s">
        <v>319</v>
      </c>
      <c r="P94" t="s">
        <v>320</v>
      </c>
      <c r="Q94" t="s">
        <v>321</v>
      </c>
      <c r="R94" t="s">
        <v>322</v>
      </c>
      <c r="S94" t="s">
        <v>323</v>
      </c>
      <c r="T94" t="s">
        <v>324</v>
      </c>
      <c r="U94">
        <f t="shared" si="1"/>
        <v>2</v>
      </c>
    </row>
    <row r="95" spans="15:21" x14ac:dyDescent="0.25">
      <c r="O95" t="s">
        <v>325</v>
      </c>
      <c r="P95" t="s">
        <v>326</v>
      </c>
      <c r="Q95" t="s">
        <v>327</v>
      </c>
      <c r="R95" t="s">
        <v>328</v>
      </c>
      <c r="S95" t="s">
        <v>329</v>
      </c>
      <c r="T95" t="s">
        <v>330</v>
      </c>
      <c r="U95">
        <f t="shared" si="1"/>
        <v>2</v>
      </c>
    </row>
    <row r="96" spans="15:21" x14ac:dyDescent="0.25">
      <c r="O96" t="s">
        <v>135</v>
      </c>
      <c r="P96" t="s">
        <v>136</v>
      </c>
      <c r="Q96" t="s">
        <v>331</v>
      </c>
      <c r="R96" t="s">
        <v>138</v>
      </c>
      <c r="S96" t="s">
        <v>332</v>
      </c>
      <c r="T96" t="s">
        <v>333</v>
      </c>
      <c r="U96">
        <f t="shared" si="1"/>
        <v>2</v>
      </c>
    </row>
    <row r="97" spans="15:21" x14ac:dyDescent="0.25">
      <c r="O97" t="s">
        <v>334</v>
      </c>
      <c r="P97" t="s">
        <v>335</v>
      </c>
      <c r="Q97" t="s">
        <v>336</v>
      </c>
      <c r="R97" t="s">
        <v>337</v>
      </c>
      <c r="S97" t="s">
        <v>338</v>
      </c>
      <c r="T97" t="s">
        <v>339</v>
      </c>
      <c r="U97">
        <f t="shared" si="1"/>
        <v>2</v>
      </c>
    </row>
    <row r="98" spans="15:21" x14ac:dyDescent="0.25">
      <c r="O98" t="s">
        <v>444</v>
      </c>
      <c r="P98" t="s">
        <v>340</v>
      </c>
      <c r="Q98" t="s">
        <v>341</v>
      </c>
      <c r="R98" t="s">
        <v>342</v>
      </c>
      <c r="S98" t="s">
        <v>343</v>
      </c>
      <c r="T98" t="s">
        <v>344</v>
      </c>
      <c r="U98">
        <f t="shared" si="1"/>
        <v>1</v>
      </c>
    </row>
  </sheetData>
  <mergeCells count="1">
    <mergeCell ref="F2:G2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Merger.Run" altText="Run Merger">
                <anchor moveWithCells="1" sizeWithCells="1">
                  <from>
                    <xdr:col>1</xdr:col>
                    <xdr:colOff>38100</xdr:colOff>
                    <xdr:row>1</xdr:row>
                    <xdr:rowOff>28575</xdr:rowOff>
                  </from>
                  <to>
                    <xdr:col>2</xdr:col>
                    <xdr:colOff>571500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 altText="Run Merger">
                <anchor moveWithCells="1" sizeWithCells="1">
                  <from>
                    <xdr:col>1</xdr:col>
                    <xdr:colOff>38100</xdr:colOff>
                    <xdr:row>4</xdr:row>
                    <xdr:rowOff>28575</xdr:rowOff>
                  </from>
                  <to>
                    <xdr:col>2</xdr:col>
                    <xdr:colOff>571500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04CA8-99D0-47C0-A662-8B2CED2E4024}">
  <sheetPr codeName="Sample"/>
  <dimension ref="A1:F1"/>
  <sheetViews>
    <sheetView workbookViewId="0"/>
  </sheetViews>
  <sheetFormatPr defaultRowHeight="15" x14ac:dyDescent="0.25"/>
  <cols>
    <col min="1" max="6" width="9.140625" customWidth="1"/>
  </cols>
  <sheetData>
    <row r="1" spans="1:6" x14ac:dyDescent="0.25">
      <c r="A1" s="1" t="s">
        <v>421</v>
      </c>
      <c r="B1" s="1" t="s">
        <v>422</v>
      </c>
      <c r="C1" s="1" t="s">
        <v>423</v>
      </c>
      <c r="D1" s="1" t="s">
        <v>424</v>
      </c>
      <c r="E1" s="1" t="s">
        <v>425</v>
      </c>
      <c r="F1" s="1" t="s">
        <v>426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4D1B2-6A8D-463A-BA4A-816D830A6482}">
  <sheetPr codeName="blank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</vt:lpstr>
      <vt:lpstr>Sample</vt:lpstr>
      <vt:lpstr>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Farrenzo</dc:creator>
  <cp:lastModifiedBy>Farrenzo</cp:lastModifiedBy>
  <dcterms:created xsi:type="dcterms:W3CDTF">2021-03-24T19:00:09Z</dcterms:created>
  <dcterms:modified xsi:type="dcterms:W3CDTF">2021-03-26T04:13:15Z</dcterms:modified>
</cp:coreProperties>
</file>